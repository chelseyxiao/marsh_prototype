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mmcglobal-my.sharepoint.com/personal/subhadra_sahni_marshmma_com/Documents/Desktop/"/>
    </mc:Choice>
  </mc:AlternateContent>
  <xr:revisionPtr revIDLastSave="278" documentId="8_{F73D0D60-5D82-4346-92F1-EAD56B646AAA}" xr6:coauthVersionLast="47" xr6:coauthVersionMax="47" xr10:uidLastSave="{09CC3419-5A27-4DB2-9C7E-71DDA6D068C7}"/>
  <bookViews>
    <workbookView xWindow="-110" yWindow="-110" windowWidth="19420" windowHeight="11500" firstSheet="3" activeTab="6" xr2:uid="{00000000-000D-0000-FFFF-FFFF00000000}"/>
  </bookViews>
  <sheets>
    <sheet name="Project Rocky" sheetId="4" r:id="rId1"/>
    <sheet name="Top Client Accounts" sheetId="12" r:id="rId2"/>
    <sheet name="Top Wholesalers" sheetId="15" r:id="rId3"/>
    <sheet name="Pro Forma Financials" sheetId="3" r:id="rId4"/>
    <sheet name="Book of Business" sheetId="9" r:id="rId5"/>
    <sheet name="Employee Roster" sheetId="2" r:id="rId6"/>
    <sheet name="June-26 TTM " sheetId="1" r:id="rId7"/>
    <sheet name="2024 BS" sheetId="11" state="hidden" r:id="rId8"/>
    <sheet name="2025 BS" sheetId="10" state="hidden" r:id="rId9"/>
    <sheet name="Trending Balance Sheet" sheetId="7" r:id="rId10"/>
    <sheet name="Trial Balance" sheetId="8" r:id="rId11"/>
  </sheets>
  <externalReferences>
    <externalReference r:id="rId12"/>
  </externalReferences>
  <definedNames>
    <definedName name="_xlnm._FilterDatabase" localSheetId="4" hidden="1">'Book of Business'!$A$1:$K$1</definedName>
    <definedName name="Deal_Type">[1]Inputs!$H$12</definedName>
    <definedName name="IRR">[1]Inputs!$F$45</definedName>
    <definedName name="IRR_wo">[1]Inputs!$G$45</definedName>
    <definedName name="MLNKb8653034831a4b1095e245c3e06f974c" hidden="1">'Employee Roster'!$1:$1048576</definedName>
    <definedName name="MLNKfcd081456e4c4d8e8a9acadc3607afdc" hidden="1">'Employee Roster'!$C$3:$U$26</definedName>
    <definedName name="Org_Struct">[1]Inputs!$H$11</definedName>
    <definedName name="print_all" localSheetId="3">'Pro Forma Financials'!print_all</definedName>
    <definedName name="print_all">[0]!print_all</definedName>
    <definedName name="Print_All2" localSheetId="3">{#N/A,#N/A,TRUE,"Cover";"Balance Sheet",#N/A,TRUE,"Historical &amp; Inputs";"Income Statement",#N/A,TRUE,"Historical &amp; Inputs";"Other Assump",#N/A,TRUE,"Historical &amp; Inputs";"Exec Sum",#N/A,TRUE,"Historical &amp; Inputs";#N/A,#N/A,TRUE,"Product Detail";#N/A,#N/A,TRUE,"Point Estimate";#N/A,#N/A,TRUE,"ROI Calc";#N/A,#N/A,TRUE,"Econ &amp; Margin Assump";#N/A,#N/A,TRUE,"Income Statement";#N/A,#N/A,TRUE,"Balance Sheet";#N/A,#N/A,TRUE,"Cash Flow"}</definedName>
    <definedName name="Print_All2">{#N/A,#N/A,TRUE,"Cover";"Balance Sheet",#N/A,TRUE,"Historical &amp; Inputs";"Income Statement",#N/A,TRUE,"Historical &amp; Inputs";"Other Assump",#N/A,TRUE,"Historical &amp; Inputs";"Exec Sum",#N/A,TRUE,"Historical &amp; Inputs";#N/A,#N/A,TRUE,"Product Detail";#N/A,#N/A,TRUE,"Point Estimate";#N/A,#N/A,TRUE,"ROI Calc";#N/A,#N/A,TRUE,"Econ &amp; Margin Assump";#N/A,#N/A,TRUE,"Income Statement";#N/A,#N/A,TRUE,"Balance Sheet";#N/A,#N/A,TRUE,"Cash Flow"}</definedName>
    <definedName name="_xlnm.Print_Area" localSheetId="5">'Employee Roster'!$B$2:$AD$27</definedName>
    <definedName name="_xlnm.Print_Area" localSheetId="3">'Pro Forma Financials'!$A$4:$J$132</definedName>
    <definedName name="_xlnm.Print_Titles" localSheetId="3">'Pro Forma Financials'!$4:$5</definedName>
    <definedName name="Project_Name">[1]Inputs!$H$9</definedName>
    <definedName name="Strat">[1]Inputs!$H$10</definedName>
    <definedName name="Target">[1]Inputs!$H$8</definedName>
    <definedName name="Tax_rate">[1]Inputs!$H$60</definedName>
    <definedName name="TTM_Date">[1]Inputs!$H$13</definedName>
    <definedName name="WACC">[1]Inputs!$H$73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3" l="1"/>
  <c r="F31" i="3"/>
  <c r="R6" i="2"/>
  <c r="F79" i="3"/>
  <c r="F7" i="3" l="1"/>
  <c r="F118" i="3"/>
  <c r="D12" i="15"/>
  <c r="C12" i="15"/>
  <c r="D128" i="12"/>
  <c r="D127" i="12" s="1"/>
  <c r="E127" i="12" s="1"/>
  <c r="C128" i="12"/>
  <c r="C127" i="12" s="1"/>
  <c r="D126" i="12"/>
  <c r="C126" i="12"/>
  <c r="C14" i="15" l="1"/>
  <c r="C13" i="15" s="1"/>
  <c r="D14" i="15"/>
  <c r="E101" i="12"/>
  <c r="E20" i="12"/>
  <c r="E68" i="12"/>
  <c r="E125" i="12"/>
  <c r="E93" i="12"/>
  <c r="E29" i="12"/>
  <c r="E92" i="12"/>
  <c r="E28" i="12"/>
  <c r="E85" i="12"/>
  <c r="E53" i="12"/>
  <c r="E52" i="12"/>
  <c r="E109" i="12"/>
  <c r="E77" i="12"/>
  <c r="E45" i="12"/>
  <c r="E13" i="12"/>
  <c r="E69" i="12"/>
  <c r="E37" i="12"/>
  <c r="E100" i="12"/>
  <c r="E36" i="12"/>
  <c r="E61" i="12"/>
  <c r="E124" i="12"/>
  <c r="E60" i="12"/>
  <c r="E117" i="12"/>
  <c r="E21" i="12"/>
  <c r="E116" i="12"/>
  <c r="E84" i="12"/>
  <c r="E108" i="12"/>
  <c r="E76" i="12"/>
  <c r="E44" i="12"/>
  <c r="E12" i="12"/>
  <c r="E114" i="12"/>
  <c r="E98" i="12"/>
  <c r="E82" i="12"/>
  <c r="E66" i="12"/>
  <c r="E50" i="12"/>
  <c r="E34" i="12"/>
  <c r="E18" i="12"/>
  <c r="E5" i="12"/>
  <c r="E113" i="12"/>
  <c r="E97" i="12"/>
  <c r="E89" i="12"/>
  <c r="E73" i="12"/>
  <c r="E57" i="12"/>
  <c r="E33" i="12"/>
  <c r="E9" i="12"/>
  <c r="E120" i="12"/>
  <c r="E104" i="12"/>
  <c r="E96" i="12"/>
  <c r="E80" i="12"/>
  <c r="E56" i="12"/>
  <c r="E40" i="12"/>
  <c r="E16" i="12"/>
  <c r="E119" i="12"/>
  <c r="E103" i="12"/>
  <c r="E87" i="12"/>
  <c r="E71" i="12"/>
  <c r="E47" i="12"/>
  <c r="E31" i="12"/>
  <c r="E23" i="12"/>
  <c r="E7" i="12"/>
  <c r="E123" i="12"/>
  <c r="E115" i="12"/>
  <c r="E107" i="12"/>
  <c r="E99" i="12"/>
  <c r="E91" i="12"/>
  <c r="E83" i="12"/>
  <c r="E75" i="12"/>
  <c r="E67" i="12"/>
  <c r="E59" i="12"/>
  <c r="E51" i="12"/>
  <c r="E43" i="12"/>
  <c r="E35" i="12"/>
  <c r="E27" i="12"/>
  <c r="E19" i="12"/>
  <c r="E11" i="12"/>
  <c r="E122" i="12"/>
  <c r="E106" i="12"/>
  <c r="E90" i="12"/>
  <c r="E74" i="12"/>
  <c r="E58" i="12"/>
  <c r="E42" i="12"/>
  <c r="E26" i="12"/>
  <c r="E10" i="12"/>
  <c r="E121" i="12"/>
  <c r="E105" i="12"/>
  <c r="E81" i="12"/>
  <c r="E65" i="12"/>
  <c r="E49" i="12"/>
  <c r="E41" i="12"/>
  <c r="E25" i="12"/>
  <c r="E17" i="12"/>
  <c r="E128" i="12"/>
  <c r="E112" i="12"/>
  <c r="E88" i="12"/>
  <c r="E72" i="12"/>
  <c r="E64" i="12"/>
  <c r="E48" i="12"/>
  <c r="E32" i="12"/>
  <c r="E24" i="12"/>
  <c r="E8" i="12"/>
  <c r="E111" i="12"/>
  <c r="E95" i="12"/>
  <c r="E79" i="12"/>
  <c r="E63" i="12"/>
  <c r="E55" i="12"/>
  <c r="E39" i="12"/>
  <c r="E15" i="12"/>
  <c r="E126" i="12"/>
  <c r="E118" i="12"/>
  <c r="E110" i="12"/>
  <c r="E102" i="12"/>
  <c r="E94" i="12"/>
  <c r="E86" i="12"/>
  <c r="E78" i="12"/>
  <c r="E70" i="12"/>
  <c r="E62" i="12"/>
  <c r="E54" i="12"/>
  <c r="E46" i="12"/>
  <c r="E38" i="12"/>
  <c r="E30" i="12"/>
  <c r="E22" i="12"/>
  <c r="E14" i="12"/>
  <c r="E6" i="12"/>
  <c r="E12" i="15" l="1"/>
  <c r="E6" i="15"/>
  <c r="E14" i="15"/>
  <c r="E7" i="15"/>
  <c r="E5" i="15"/>
  <c r="E8" i="15"/>
  <c r="E9" i="15"/>
  <c r="D13" i="15"/>
  <c r="E13" i="15" s="1"/>
  <c r="E10" i="15"/>
  <c r="E11" i="15"/>
  <c r="C7" i="3"/>
  <c r="B47" i="7" l="1"/>
  <c r="B48" i="7"/>
  <c r="B49" i="7" s="1"/>
  <c r="B45" i="7"/>
  <c r="B42" i="7"/>
  <c r="B34" i="7"/>
  <c r="B39" i="7"/>
  <c r="B40" i="7" s="1"/>
  <c r="B38" i="7"/>
  <c r="B37" i="7"/>
  <c r="B36" i="7"/>
  <c r="B33" i="7"/>
  <c r="B32" i="7"/>
  <c r="B16" i="7"/>
  <c r="B15" i="7"/>
  <c r="B13" i="7"/>
  <c r="B10" i="7"/>
  <c r="B9" i="7"/>
  <c r="C49" i="7"/>
  <c r="C48" i="7"/>
  <c r="C47" i="7"/>
  <c r="C46" i="7"/>
  <c r="C45" i="7"/>
  <c r="C44" i="7"/>
  <c r="C43" i="7"/>
  <c r="C42" i="7"/>
  <c r="C38" i="7"/>
  <c r="C39" i="7" s="1"/>
  <c r="C40" i="7" s="1"/>
  <c r="C37" i="7"/>
  <c r="C36" i="7"/>
  <c r="C34" i="7"/>
  <c r="C33" i="7"/>
  <c r="C32" i="7"/>
  <c r="C26" i="7"/>
  <c r="C27" i="7" s="1"/>
  <c r="C25" i="7"/>
  <c r="C23" i="7"/>
  <c r="C22" i="7"/>
  <c r="C19" i="7"/>
  <c r="C18" i="7"/>
  <c r="C16" i="7"/>
  <c r="C15" i="7"/>
  <c r="C13" i="7"/>
  <c r="C12" i="7"/>
  <c r="C11" i="7"/>
  <c r="C10" i="7"/>
  <c r="C9" i="7"/>
  <c r="B34" i="11"/>
  <c r="B28" i="11"/>
  <c r="B29" i="11" s="1"/>
  <c r="B35" i="11" s="1"/>
  <c r="B27" i="11"/>
  <c r="B23" i="11"/>
  <c r="B15" i="11"/>
  <c r="B16" i="11" s="1"/>
  <c r="B14" i="11"/>
  <c r="B11" i="11"/>
  <c r="B48" i="10"/>
  <c r="B45" i="10"/>
  <c r="B38" i="10"/>
  <c r="B34" i="10"/>
  <c r="B39" i="10" s="1"/>
  <c r="B40" i="10" s="1"/>
  <c r="B49" i="10" s="1"/>
  <c r="B26" i="10"/>
  <c r="B23" i="10"/>
  <c r="B19" i="10"/>
  <c r="B16" i="10"/>
  <c r="B13" i="10"/>
  <c r="B20" i="10" s="1"/>
  <c r="B27" i="10" s="1"/>
  <c r="K311" i="9"/>
  <c r="H314" i="9" s="1"/>
  <c r="J311" i="9"/>
  <c r="H313" i="9" s="1"/>
  <c r="G310" i="9"/>
  <c r="G312" i="9" s="1"/>
  <c r="H308" i="9"/>
  <c r="H307" i="9"/>
  <c r="H306" i="9"/>
  <c r="H305" i="9"/>
  <c r="H304" i="9"/>
  <c r="H303" i="9"/>
  <c r="H302" i="9"/>
  <c r="H301" i="9"/>
  <c r="H300" i="9"/>
  <c r="H299" i="9"/>
  <c r="H298" i="9"/>
  <c r="H297" i="9"/>
  <c r="H296" i="9"/>
  <c r="H294" i="9"/>
  <c r="H293" i="9"/>
  <c r="H292" i="9"/>
  <c r="H291" i="9"/>
  <c r="H290" i="9"/>
  <c r="H289" i="9"/>
  <c r="H288" i="9"/>
  <c r="H287" i="9"/>
  <c r="H286" i="9"/>
  <c r="H285" i="9"/>
  <c r="H284" i="9"/>
  <c r="H282" i="9"/>
  <c r="I309" i="9" s="1"/>
  <c r="H281" i="9"/>
  <c r="H279" i="9"/>
  <c r="H278" i="9"/>
  <c r="H277" i="9"/>
  <c r="H276" i="9"/>
  <c r="H275" i="9"/>
  <c r="H273" i="9"/>
  <c r="H268" i="9"/>
  <c r="H267" i="9"/>
  <c r="I280" i="9" s="1"/>
  <c r="H265" i="9"/>
  <c r="H264" i="9"/>
  <c r="H263" i="9"/>
  <c r="H262" i="9"/>
  <c r="H261" i="9"/>
  <c r="H260" i="9"/>
  <c r="H259" i="9"/>
  <c r="H258" i="9"/>
  <c r="H257" i="9"/>
  <c r="H255" i="9"/>
  <c r="H254" i="9"/>
  <c r="H253" i="9"/>
  <c r="H252" i="9"/>
  <c r="H251" i="9"/>
  <c r="H250" i="9"/>
  <c r="H249" i="9"/>
  <c r="H248" i="9"/>
  <c r="H247" i="9"/>
  <c r="H246" i="9"/>
  <c r="H245" i="9"/>
  <c r="H244" i="9"/>
  <c r="H243" i="9"/>
  <c r="H242" i="9"/>
  <c r="H241" i="9"/>
  <c r="H240" i="9"/>
  <c r="I266" i="9" s="1"/>
  <c r="H238" i="9"/>
  <c r="H235" i="9"/>
  <c r="H234" i="9"/>
  <c r="H233" i="9"/>
  <c r="H232" i="9"/>
  <c r="H231" i="9"/>
  <c r="H230" i="9"/>
  <c r="H229" i="9"/>
  <c r="H228" i="9"/>
  <c r="H227" i="9"/>
  <c r="H226" i="9"/>
  <c r="H225" i="9"/>
  <c r="H224" i="9"/>
  <c r="H223" i="9"/>
  <c r="H222" i="9"/>
  <c r="H221" i="9"/>
  <c r="H220" i="9"/>
  <c r="H219" i="9"/>
  <c r="H218" i="9"/>
  <c r="H217" i="9"/>
  <c r="H216" i="9"/>
  <c r="H215" i="9"/>
  <c r="H214" i="9"/>
  <c r="H213" i="9"/>
  <c r="H212" i="9"/>
  <c r="H211" i="9"/>
  <c r="H208" i="9"/>
  <c r="H207" i="9"/>
  <c r="H205" i="9"/>
  <c r="H204" i="9"/>
  <c r="H203" i="9"/>
  <c r="H200" i="9"/>
  <c r="H198" i="9"/>
  <c r="I237" i="9" s="1"/>
  <c r="H197" i="9"/>
  <c r="H196" i="9"/>
  <c r="H195" i="9"/>
  <c r="H192" i="9"/>
  <c r="H191" i="9"/>
  <c r="H190" i="9"/>
  <c r="H189" i="9"/>
  <c r="H188" i="9"/>
  <c r="H187" i="9"/>
  <c r="H186" i="9"/>
  <c r="H185" i="9"/>
  <c r="H183" i="9"/>
  <c r="H182" i="9"/>
  <c r="H181" i="9"/>
  <c r="H180" i="9"/>
  <c r="H178" i="9"/>
  <c r="H175" i="9"/>
  <c r="H174" i="9"/>
  <c r="H173" i="9"/>
  <c r="H172" i="9"/>
  <c r="H171" i="9"/>
  <c r="I193" i="9" s="1"/>
  <c r="H170" i="9"/>
  <c r="H166" i="9"/>
  <c r="H164" i="9"/>
  <c r="H163" i="9"/>
  <c r="H162" i="9"/>
  <c r="H160" i="9"/>
  <c r="H158" i="9"/>
  <c r="I167" i="9" s="1"/>
  <c r="H152" i="9"/>
  <c r="H148" i="9"/>
  <c r="H141" i="9"/>
  <c r="H139" i="9"/>
  <c r="H138" i="9"/>
  <c r="H137" i="9"/>
  <c r="H136" i="9"/>
  <c r="I151" i="9" s="1"/>
  <c r="H126" i="9"/>
  <c r="H125" i="9"/>
  <c r="H124" i="9"/>
  <c r="H123" i="9"/>
  <c r="H122" i="9"/>
  <c r="H121" i="9"/>
  <c r="H120" i="9"/>
  <c r="H115" i="9"/>
  <c r="H112" i="9"/>
  <c r="H109" i="9"/>
  <c r="H108" i="9"/>
  <c r="I131" i="9" s="1"/>
  <c r="H106" i="9"/>
  <c r="H105" i="9"/>
  <c r="H104" i="9"/>
  <c r="H103" i="9"/>
  <c r="H100" i="9"/>
  <c r="H99" i="9"/>
  <c r="H98" i="9"/>
  <c r="H96" i="9"/>
  <c r="H95" i="9"/>
  <c r="H94" i="9"/>
  <c r="H93" i="9"/>
  <c r="H92" i="9"/>
  <c r="H91" i="9"/>
  <c r="H89" i="9"/>
  <c r="H88" i="9"/>
  <c r="I107" i="9" s="1"/>
  <c r="H81" i="9"/>
  <c r="H80" i="9"/>
  <c r="H79" i="9"/>
  <c r="H78" i="9"/>
  <c r="H77" i="9"/>
  <c r="H76" i="9"/>
  <c r="H75" i="9"/>
  <c r="H73" i="9"/>
  <c r="H72" i="9"/>
  <c r="H71" i="9"/>
  <c r="H69" i="9"/>
  <c r="H68" i="9"/>
  <c r="H67" i="9"/>
  <c r="H66" i="9"/>
  <c r="H65" i="9"/>
  <c r="H64" i="9"/>
  <c r="H63" i="9"/>
  <c r="H62" i="9"/>
  <c r="H61" i="9"/>
  <c r="H60" i="9"/>
  <c r="H58" i="9"/>
  <c r="H57" i="9"/>
  <c r="I84" i="9" s="1"/>
  <c r="H52" i="9"/>
  <c r="H51" i="9"/>
  <c r="H50" i="9"/>
  <c r="H49" i="9"/>
  <c r="H48" i="9"/>
  <c r="H47" i="9"/>
  <c r="H46" i="9"/>
  <c r="H45" i="9"/>
  <c r="H44" i="9"/>
  <c r="H43" i="9"/>
  <c r="H42" i="9"/>
  <c r="H41" i="9"/>
  <c r="H40" i="9"/>
  <c r="H39" i="9"/>
  <c r="H38" i="9"/>
  <c r="H37" i="9"/>
  <c r="H36" i="9"/>
  <c r="H35" i="9"/>
  <c r="H34" i="9"/>
  <c r="H33" i="9"/>
  <c r="H29" i="9"/>
  <c r="H28" i="9"/>
  <c r="H27" i="9"/>
  <c r="H26" i="9"/>
  <c r="H25" i="9"/>
  <c r="H24" i="9"/>
  <c r="I55" i="9" s="1"/>
  <c r="H23" i="9"/>
  <c r="H21" i="9"/>
  <c r="H20" i="9"/>
  <c r="H19" i="9"/>
  <c r="H18" i="9"/>
  <c r="H17" i="9"/>
  <c r="H16" i="9"/>
  <c r="H15" i="9"/>
  <c r="H14" i="9"/>
  <c r="H13" i="9"/>
  <c r="H12" i="9"/>
  <c r="H11" i="9"/>
  <c r="H10" i="9"/>
  <c r="H9" i="9"/>
  <c r="H8" i="9"/>
  <c r="H7" i="9"/>
  <c r="H6" i="9"/>
  <c r="H310" i="9" s="1"/>
  <c r="H312" i="9" s="1"/>
  <c r="H318" i="9" s="1"/>
  <c r="C20" i="7" l="1"/>
  <c r="I22" i="9"/>
  <c r="I310" i="9" s="1"/>
  <c r="C48" i="8" l="1"/>
  <c r="B48" i="8"/>
  <c r="D45" i="7"/>
  <c r="D48" i="7" s="1"/>
  <c r="D38" i="7"/>
  <c r="D34" i="7"/>
  <c r="D26" i="7"/>
  <c r="D23" i="7"/>
  <c r="D19" i="7"/>
  <c r="D16" i="7"/>
  <c r="D13" i="7"/>
  <c r="D20" i="7" s="1"/>
  <c r="D39" i="7" l="1"/>
  <c r="D40" i="7" s="1"/>
  <c r="D49" i="7" s="1"/>
  <c r="D27" i="7"/>
  <c r="F80" i="3"/>
  <c r="H86" i="3"/>
  <c r="C86" i="3"/>
  <c r="C118" i="3"/>
  <c r="C24" i="3"/>
  <c r="H24" i="3" s="1"/>
  <c r="C134" i="3"/>
  <c r="C65" i="3"/>
  <c r="C64" i="3"/>
  <c r="C63" i="3"/>
  <c r="C62" i="3"/>
  <c r="C80" i="3"/>
  <c r="C69" i="3"/>
  <c r="C66" i="3"/>
  <c r="C61" i="3"/>
  <c r="C60" i="3"/>
  <c r="C117" i="3"/>
  <c r="C116" i="3"/>
  <c r="C92" i="3"/>
  <c r="C79" i="3"/>
  <c r="C87" i="3"/>
  <c r="C84" i="3"/>
  <c r="C85" i="3"/>
  <c r="C102" i="3"/>
  <c r="C97" i="3"/>
  <c r="C108" i="3"/>
  <c r="C115" i="3"/>
  <c r="C114" i="3"/>
  <c r="C113" i="3"/>
  <c r="C112" i="3"/>
  <c r="H112" i="3" s="1"/>
  <c r="C96" i="3"/>
  <c r="H96" i="3" s="1"/>
  <c r="C95" i="3"/>
  <c r="H95" i="3" s="1"/>
  <c r="C74" i="3"/>
  <c r="H74" i="3" s="1"/>
  <c r="C49" i="3"/>
  <c r="C37" i="3"/>
  <c r="C31" i="3"/>
  <c r="F119" i="3"/>
  <c r="F109" i="3"/>
  <c r="F103" i="3"/>
  <c r="F98" i="3"/>
  <c r="F93" i="3"/>
  <c r="F88" i="3"/>
  <c r="F75" i="3"/>
  <c r="F70" i="3"/>
  <c r="F67" i="3"/>
  <c r="F25" i="3"/>
  <c r="F22" i="3"/>
  <c r="F14" i="3"/>
  <c r="S46" i="2"/>
  <c r="AC44" i="2"/>
  <c r="AC41" i="2"/>
  <c r="AB20" i="2" s="1"/>
  <c r="S39" i="2"/>
  <c r="Q24" i="2"/>
  <c r="N24" i="2"/>
  <c r="M24" i="2"/>
  <c r="L24" i="2"/>
  <c r="J24" i="2"/>
  <c r="I24" i="2"/>
  <c r="H24" i="2"/>
  <c r="F24" i="2"/>
  <c r="S23" i="2"/>
  <c r="W23" i="2" s="1"/>
  <c r="O23" i="2"/>
  <c r="Y22" i="2"/>
  <c r="S22" i="2"/>
  <c r="O22" i="2"/>
  <c r="K22" i="2"/>
  <c r="S21" i="2"/>
  <c r="Y21" i="2" s="1"/>
  <c r="O21" i="2"/>
  <c r="K21" i="2"/>
  <c r="AC20" i="2"/>
  <c r="S20" i="2"/>
  <c r="Z20" i="2" s="1"/>
  <c r="O20" i="2"/>
  <c r="K20" i="2"/>
  <c r="S19" i="2"/>
  <c r="O19" i="2"/>
  <c r="K19" i="2"/>
  <c r="P18" i="2"/>
  <c r="O18" i="2"/>
  <c r="K18" i="2"/>
  <c r="R17" i="2"/>
  <c r="S17" i="2" s="1"/>
  <c r="P17" i="2"/>
  <c r="O17" i="2"/>
  <c r="K17" i="2"/>
  <c r="R15" i="2"/>
  <c r="Q15" i="2"/>
  <c r="P15" i="2"/>
  <c r="N15" i="2"/>
  <c r="M15" i="2"/>
  <c r="L15" i="2"/>
  <c r="J15" i="2"/>
  <c r="I15" i="2"/>
  <c r="H15" i="2"/>
  <c r="F15" i="2"/>
  <c r="S14" i="2"/>
  <c r="O14" i="2"/>
  <c r="AB13" i="2"/>
  <c r="S13" i="2"/>
  <c r="Z13" i="2" s="1"/>
  <c r="O13" i="2"/>
  <c r="K13" i="2"/>
  <c r="S12" i="2"/>
  <c r="O12" i="2"/>
  <c r="K12" i="2"/>
  <c r="S11" i="2"/>
  <c r="Y11" i="2" s="1"/>
  <c r="O11" i="2"/>
  <c r="K11" i="2"/>
  <c r="S10" i="2"/>
  <c r="AC10" i="2" s="1"/>
  <c r="O10" i="2"/>
  <c r="K10" i="2"/>
  <c r="C10" i="2"/>
  <c r="C11" i="2" s="1"/>
  <c r="R8" i="2"/>
  <c r="P8" i="2"/>
  <c r="N8" i="2"/>
  <c r="M8" i="2"/>
  <c r="L8" i="2"/>
  <c r="J8" i="2"/>
  <c r="I8" i="2"/>
  <c r="H8" i="2"/>
  <c r="S7" i="2"/>
  <c r="U7" i="2" s="1"/>
  <c r="O7" i="2"/>
  <c r="W7" i="2" s="1"/>
  <c r="O6" i="2"/>
  <c r="K6" i="2"/>
  <c r="K8" i="2" s="1"/>
  <c r="W11" i="2" l="1"/>
  <c r="W12" i="2"/>
  <c r="W14" i="2"/>
  <c r="L26" i="2"/>
  <c r="J26" i="2"/>
  <c r="I26" i="2"/>
  <c r="M26" i="2"/>
  <c r="N26" i="2"/>
  <c r="U19" i="2"/>
  <c r="W22" i="2"/>
  <c r="U22" i="2"/>
  <c r="F77" i="3"/>
  <c r="Z7" i="2"/>
  <c r="AA7" i="2" s="1"/>
  <c r="AC13" i="2"/>
  <c r="Y12" i="2"/>
  <c r="Z19" i="2"/>
  <c r="Z21" i="2"/>
  <c r="AA21" i="2" s="1"/>
  <c r="Z22" i="2"/>
  <c r="AA22" i="2" s="1"/>
  <c r="Z12" i="2"/>
  <c r="O24" i="2"/>
  <c r="AC21" i="2"/>
  <c r="O15" i="2"/>
  <c r="AC11" i="2"/>
  <c r="AC12" i="2"/>
  <c r="AB18" i="2"/>
  <c r="Z11" i="2"/>
  <c r="AA11" i="2" s="1"/>
  <c r="AC22" i="2"/>
  <c r="O8" i="2"/>
  <c r="U10" i="2"/>
  <c r="H26" i="2"/>
  <c r="K24" i="2"/>
  <c r="U12" i="2"/>
  <c r="W19" i="2"/>
  <c r="W21" i="2"/>
  <c r="Y19" i="2"/>
  <c r="AC17" i="2"/>
  <c r="Y17" i="2"/>
  <c r="W17" i="2"/>
  <c r="Z17" i="2"/>
  <c r="U17" i="2"/>
  <c r="U23" i="2"/>
  <c r="R18" i="2"/>
  <c r="S18" i="2" s="1"/>
  <c r="U20" i="2"/>
  <c r="AB21" i="2"/>
  <c r="W10" i="2"/>
  <c r="U13" i="2"/>
  <c r="S15" i="2"/>
  <c r="W20" i="2"/>
  <c r="Y10" i="2"/>
  <c r="C12" i="2"/>
  <c r="W13" i="2"/>
  <c r="AB19" i="2"/>
  <c r="Y20" i="2"/>
  <c r="AA20" i="2" s="1"/>
  <c r="P24" i="2"/>
  <c r="P26" i="2" s="1"/>
  <c r="Z10" i="2"/>
  <c r="U11" i="2"/>
  <c r="AB12" i="2"/>
  <c r="Y13" i="2"/>
  <c r="AA13" i="2" s="1"/>
  <c r="AB17" i="2"/>
  <c r="AC19" i="2"/>
  <c r="U21" i="2"/>
  <c r="AB22" i="2"/>
  <c r="AB11" i="2"/>
  <c r="AB10" i="2"/>
  <c r="AC15" i="2" l="1"/>
  <c r="O26" i="2"/>
  <c r="O29" i="2" s="1"/>
  <c r="AB24" i="2"/>
  <c r="R24" i="2"/>
  <c r="R26" i="2" s="1"/>
  <c r="AB15" i="2"/>
  <c r="AA12" i="2"/>
  <c r="Z15" i="2"/>
  <c r="AA19" i="2"/>
  <c r="Z18" i="2"/>
  <c r="Z24" i="2" s="1"/>
  <c r="Y18" i="2"/>
  <c r="AC18" i="2"/>
  <c r="AC24" i="2" s="1"/>
  <c r="W18" i="2"/>
  <c r="W24" i="2" s="1"/>
  <c r="U18" i="2"/>
  <c r="U24" i="2" s="1"/>
  <c r="W15" i="2"/>
  <c r="AA17" i="2"/>
  <c r="Y15" i="2"/>
  <c r="AA10" i="2"/>
  <c r="C13" i="2"/>
  <c r="S24" i="2"/>
  <c r="AA18" i="2" l="1"/>
  <c r="Y24" i="2"/>
  <c r="AA15" i="2"/>
  <c r="C19" i="2"/>
  <c r="AA24" i="2"/>
  <c r="C20" i="2" l="1"/>
  <c r="C21" i="2" l="1"/>
  <c r="C22" i="2" s="1"/>
  <c r="S43" i="2" s="1"/>
  <c r="C72" i="3" l="1"/>
  <c r="H72" i="3" s="1"/>
  <c r="C101" i="3"/>
  <c r="H101" i="3" s="1"/>
  <c r="H80" i="3"/>
  <c r="C53" i="3"/>
  <c r="C44" i="3"/>
  <c r="H79" i="3"/>
  <c r="H61" i="3"/>
  <c r="H115" i="3"/>
  <c r="H114" i="3"/>
  <c r="C106" i="3"/>
  <c r="H106" i="3" s="1"/>
  <c r="H113" i="3"/>
  <c r="C90" i="3"/>
  <c r="H90" i="3" s="1"/>
  <c r="H85" i="3"/>
  <c r="C47" i="3"/>
  <c r="H69" i="3"/>
  <c r="H87" i="3"/>
  <c r="C43" i="3"/>
  <c r="C129" i="3"/>
  <c r="H129" i="3" s="1"/>
  <c r="H117" i="3"/>
  <c r="H108" i="3"/>
  <c r="H63" i="3"/>
  <c r="C21" i="3"/>
  <c r="C100" i="3"/>
  <c r="H100" i="3" s="1"/>
  <c r="C52" i="3"/>
  <c r="C128" i="3"/>
  <c r="H128" i="3" s="1"/>
  <c r="C91" i="3"/>
  <c r="H91" i="3" s="1"/>
  <c r="H65" i="3"/>
  <c r="C107" i="3"/>
  <c r="H107" i="3" s="1"/>
  <c r="H62" i="3"/>
  <c r="C127" i="3"/>
  <c r="H127" i="3" s="1"/>
  <c r="H118" i="3"/>
  <c r="C81" i="3"/>
  <c r="H81" i="3" s="1"/>
  <c r="H18" i="3"/>
  <c r="C48" i="3"/>
  <c r="C126" i="3"/>
  <c r="H66" i="3"/>
  <c r="C54" i="3"/>
  <c r="C13" i="3"/>
  <c r="H13" i="3" s="1"/>
  <c r="H102" i="3"/>
  <c r="H7" i="3"/>
  <c r="H116" i="3"/>
  <c r="C73" i="3"/>
  <c r="H73" i="3" s="1"/>
  <c r="H97" i="3"/>
  <c r="H60" i="3"/>
  <c r="C36" i="3"/>
  <c r="C42" i="3"/>
  <c r="C35" i="3"/>
  <c r="H84" i="3"/>
  <c r="H92" i="3"/>
  <c r="H64" i="3"/>
  <c r="H21" i="3" l="1"/>
  <c r="C88" i="3"/>
  <c r="C119" i="3"/>
  <c r="F38" i="3"/>
  <c r="C98" i="3"/>
  <c r="H119" i="3"/>
  <c r="C70" i="3"/>
  <c r="C93" i="3"/>
  <c r="C14" i="3"/>
  <c r="C22" i="3"/>
  <c r="C67" i="3"/>
  <c r="C55" i="3"/>
  <c r="C32" i="3"/>
  <c r="C103" i="3"/>
  <c r="C19" i="3"/>
  <c r="C38" i="3"/>
  <c r="C130" i="3"/>
  <c r="C109" i="3"/>
  <c r="C82" i="3"/>
  <c r="C75" i="3"/>
  <c r="C50" i="3"/>
  <c r="C45" i="3"/>
  <c r="C8" i="3"/>
  <c r="H75" i="3"/>
  <c r="C25" i="3"/>
  <c r="H37" i="3" l="1"/>
  <c r="C77" i="3"/>
  <c r="C40" i="3"/>
  <c r="C11" i="3"/>
  <c r="C16" i="3" s="1"/>
  <c r="C28" i="3" s="1"/>
  <c r="C27" i="3"/>
  <c r="C57" i="3"/>
  <c r="C121" i="3"/>
  <c r="H25" i="3"/>
  <c r="H103" i="3"/>
  <c r="H88" i="3"/>
  <c r="H14" i="3"/>
  <c r="H93" i="3"/>
  <c r="H109" i="3"/>
  <c r="H98" i="3"/>
  <c r="F19" i="3"/>
  <c r="F27" i="3" s="1"/>
  <c r="H22" i="3"/>
  <c r="H70" i="3"/>
  <c r="C58" i="3" l="1"/>
  <c r="C123" i="3" s="1"/>
  <c r="C124" i="3" s="1"/>
  <c r="K28" i="2"/>
  <c r="F8" i="3"/>
  <c r="H19" i="3"/>
  <c r="H27" i="3" s="1"/>
  <c r="H8" i="3"/>
  <c r="H11" i="3" s="1"/>
  <c r="F28" i="2" s="1"/>
  <c r="F82" i="3"/>
  <c r="F121" i="3" s="1"/>
  <c r="H38" i="3"/>
  <c r="H82" i="3"/>
  <c r="H121" i="3" s="1"/>
  <c r="H67" i="3"/>
  <c r="H77" i="3" s="1"/>
  <c r="S42" i="2"/>
  <c r="S44" i="2" s="1"/>
  <c r="S47" i="2" s="1"/>
  <c r="C132" i="3" l="1"/>
  <c r="C135" i="3" s="1"/>
  <c r="H16" i="3"/>
  <c r="F11" i="3"/>
  <c r="F16" i="3" s="1"/>
  <c r="F28" i="3" s="1"/>
  <c r="H28" i="3" l="1"/>
  <c r="F126" i="3" s="1"/>
  <c r="H126" i="3" s="1"/>
  <c r="H130" i="3" s="1"/>
  <c r="F6" i="2"/>
  <c r="F130" i="3" l="1"/>
  <c r="K14" i="2"/>
  <c r="K15" i="2" l="1"/>
  <c r="K26" i="2" s="1"/>
  <c r="K29" i="2" s="1"/>
  <c r="U14" i="2"/>
  <c r="U15" i="2" s="1"/>
  <c r="F8" i="2" l="1"/>
  <c r="F26" i="2" s="1"/>
  <c r="F29" i="2" s="1"/>
  <c r="Q8" i="2" l="1"/>
  <c r="Q26" i="2" s="1"/>
  <c r="H31" i="3" s="1"/>
  <c r="S6" i="2"/>
  <c r="AB6" i="2"/>
  <c r="AB8" i="2" s="1"/>
  <c r="AB26" i="2" s="1"/>
  <c r="F54" i="3" s="1"/>
  <c r="H54" i="3" s="1"/>
  <c r="AB28" i="2" s="1"/>
  <c r="F32" i="3" l="1"/>
  <c r="F40" i="3" s="1"/>
  <c r="H32" i="3"/>
  <c r="H40" i="3" s="1"/>
  <c r="F55" i="3"/>
  <c r="H55" i="3"/>
  <c r="Y6" i="2"/>
  <c r="S8" i="2"/>
  <c r="S26" i="2" s="1"/>
  <c r="S28" i="2" s="1"/>
  <c r="W6" i="2"/>
  <c r="W8" i="2" s="1"/>
  <c r="W26" i="2" s="1"/>
  <c r="U6" i="2"/>
  <c r="U8" i="2" s="1"/>
  <c r="U26" i="2" s="1"/>
  <c r="AC6" i="2"/>
  <c r="AC8" i="2" s="1"/>
  <c r="AC26" i="2" s="1"/>
  <c r="F44" i="3" s="1"/>
  <c r="H44" i="3" s="1"/>
  <c r="AC28" i="2" s="1"/>
  <c r="Z6" i="2"/>
  <c r="Z8" i="2" s="1"/>
  <c r="Z26" i="2" s="1"/>
  <c r="AB29" i="2" l="1"/>
  <c r="S29" i="2"/>
  <c r="Y8" i="2"/>
  <c r="Y26" i="2" s="1"/>
  <c r="AA6" i="2"/>
  <c r="AA8" i="2" s="1"/>
  <c r="AA26" i="2" s="1"/>
  <c r="F49" i="3" s="1"/>
  <c r="H49" i="3" s="1"/>
  <c r="F50" i="3" l="1"/>
  <c r="AA28" i="2"/>
  <c r="H50" i="3"/>
  <c r="AA29" i="2"/>
  <c r="F45" i="3"/>
  <c r="F57" i="3" l="1"/>
  <c r="F58" i="3"/>
  <c r="F123" i="3" s="1"/>
  <c r="F132" i="3" s="1"/>
  <c r="H45" i="3"/>
  <c r="H57" i="3" s="1"/>
  <c r="H58" i="3" l="1"/>
  <c r="H123" i="3" l="1"/>
  <c r="H132" i="3" s="1"/>
  <c r="AC29" i="2"/>
  <c r="H124" i="3" l="1"/>
  <c r="B58" i="1" l="1"/>
  <c r="B59" i="1" s="1"/>
  <c r="B53" i="1"/>
  <c r="B48" i="1"/>
  <c r="B43" i="1"/>
  <c r="B39" i="1"/>
  <c r="B33" i="1"/>
  <c r="B28" i="1"/>
  <c r="B25" i="1"/>
  <c r="B20" i="1"/>
  <c r="B8" i="1"/>
  <c r="B9" i="1" s="1"/>
  <c r="B50" i="1" s="1"/>
  <c r="B60" i="1" l="1"/>
  <c r="B61" i="1"/>
</calcChain>
</file>

<file path=xl/sharedStrings.xml><?xml version="1.0" encoding="utf-8"?>
<sst xmlns="http://schemas.openxmlformats.org/spreadsheetml/2006/main" count="2071" uniqueCount="697">
  <si>
    <t>Precision Brokers, LLC</t>
  </si>
  <si>
    <t>Income</t>
  </si>
  <si>
    <t>Sales</t>
  </si>
  <si>
    <t>Total for Income</t>
  </si>
  <si>
    <t>Gross Profit</t>
  </si>
  <si>
    <t>Expenses</t>
  </si>
  <si>
    <t>Advertising &amp; marketing</t>
  </si>
  <si>
    <t>Business licenses</t>
  </si>
  <si>
    <t>Dues and Memberships</t>
  </si>
  <si>
    <t>Employee benefits</t>
  </si>
  <si>
    <t>Total</t>
  </si>
  <si>
    <t/>
  </si>
  <si>
    <t>Employee Expense Reimbursement</t>
  </si>
  <si>
    <t>General business expenses</t>
  </si>
  <si>
    <t>Bank fees &amp; service charges</t>
  </si>
  <si>
    <t>Continuing education</t>
  </si>
  <si>
    <t>Memberships &amp; subscriptions</t>
  </si>
  <si>
    <t>Total for General business expenses</t>
  </si>
  <si>
    <t>Insurance</t>
  </si>
  <si>
    <t>Legal &amp; accounting services</t>
  </si>
  <si>
    <t>Accounting fees</t>
  </si>
  <si>
    <t>Legal fees</t>
  </si>
  <si>
    <t>Total for Legal &amp; accounting services</t>
  </si>
  <si>
    <t>Meals</t>
  </si>
  <si>
    <t>Meals with clients</t>
  </si>
  <si>
    <t>Total for Meals</t>
  </si>
  <si>
    <t>Office expenses</t>
  </si>
  <si>
    <t>Office supplies</t>
  </si>
  <si>
    <t>Shipping &amp; postage</t>
  </si>
  <si>
    <t>Software, IT &amp; apps</t>
  </si>
  <si>
    <t>Total for Office expenses</t>
  </si>
  <si>
    <t>Payroll expenses</t>
  </si>
  <si>
    <t>Officers Salary</t>
  </si>
  <si>
    <t>Payroll Fees</t>
  </si>
  <si>
    <t>Payroll taxes (Company)</t>
  </si>
  <si>
    <t>Staff Wages</t>
  </si>
  <si>
    <t>Total for Payroll expenses</t>
  </si>
  <si>
    <t>Professional Services</t>
  </si>
  <si>
    <t>Rent</t>
  </si>
  <si>
    <t>OFF RENT</t>
  </si>
  <si>
    <t>Total for Rent</t>
  </si>
  <si>
    <t>Travel</t>
  </si>
  <si>
    <t>Airfare</t>
  </si>
  <si>
    <t>Hotels</t>
  </si>
  <si>
    <t>Taxis or shared rides</t>
  </si>
  <si>
    <t>Total for Travel</t>
  </si>
  <si>
    <t>Total for Expenses</t>
  </si>
  <si>
    <t>Net Operating Income</t>
  </si>
  <si>
    <t>Other Income</t>
  </si>
  <si>
    <t>Convenience Fee Income</t>
  </si>
  <si>
    <t>Total for Other Income</t>
  </si>
  <si>
    <t>Other Expenses</t>
  </si>
  <si>
    <t>Vehicle expenses</t>
  </si>
  <si>
    <t>Parking &amp; tolls</t>
  </si>
  <si>
    <t>Vehicle gas &amp; fuel</t>
  </si>
  <si>
    <t>Total for Vehicle expenses</t>
  </si>
  <si>
    <t>Total for Other Expenses</t>
  </si>
  <si>
    <t>Net Other Income</t>
  </si>
  <si>
    <t>Net Income</t>
  </si>
  <si>
    <t>Accrual Basis Monday, August 03, 2026 09:57 AM GMT-04:00</t>
  </si>
  <si>
    <t>Book of</t>
  </si>
  <si>
    <t>Reported</t>
  </si>
  <si>
    <t>Seller Pro Forma</t>
  </si>
  <si>
    <t>MMA Pro Forma</t>
  </si>
  <si>
    <t>Variance</t>
  </si>
  <si>
    <t xml:space="preserve">Variance </t>
  </si>
  <si>
    <t>Social</t>
  </si>
  <si>
    <t>Payroll</t>
  </si>
  <si>
    <t>$</t>
  </si>
  <si>
    <t>Name</t>
  </si>
  <si>
    <t>Title</t>
  </si>
  <si>
    <t>Business</t>
  </si>
  <si>
    <t>Base</t>
  </si>
  <si>
    <t>Comm.</t>
  </si>
  <si>
    <t>Bonus</t>
  </si>
  <si>
    <t>to Reported</t>
  </si>
  <si>
    <t>to Seller PF</t>
  </si>
  <si>
    <t>Security</t>
  </si>
  <si>
    <t>Medicare</t>
  </si>
  <si>
    <t>Taxes</t>
  </si>
  <si>
    <t>401(k)</t>
  </si>
  <si>
    <t>Medical</t>
  </si>
  <si>
    <t>Judy Pearson</t>
  </si>
  <si>
    <t>Principal</t>
  </si>
  <si>
    <t>Unreconciled variance</t>
  </si>
  <si>
    <t>Total Shareholders</t>
  </si>
  <si>
    <t>Total Non-Shareholder Producers</t>
  </si>
  <si>
    <t>Alex Gruitch</t>
  </si>
  <si>
    <t>Associate AM</t>
  </si>
  <si>
    <t>Replacement hire for Liam Franks</t>
  </si>
  <si>
    <t>Terminated</t>
  </si>
  <si>
    <t>Unreconciled difference to P&amp;L</t>
  </si>
  <si>
    <t>Total Staff &amp; Support</t>
  </si>
  <si>
    <t>Total Compensation</t>
  </si>
  <si>
    <t>Per Source</t>
  </si>
  <si>
    <t>Commission Assumptions</t>
  </si>
  <si>
    <t>Benefit Assumptions</t>
  </si>
  <si>
    <t>Book Split</t>
  </si>
  <si>
    <t>Social Security</t>
  </si>
  <si>
    <t>Growth Business</t>
  </si>
  <si>
    <t>Income Limit</t>
  </si>
  <si>
    <t>Base Business</t>
  </si>
  <si>
    <t>Social Security Tax Rate</t>
  </si>
  <si>
    <t>Commission Structure</t>
  </si>
  <si>
    <t>Commission on Growth</t>
  </si>
  <si>
    <t>Medicare Tax Rate</t>
  </si>
  <si>
    <t>Commission on Base</t>
  </si>
  <si>
    <t>Assumed Commission Percentage</t>
  </si>
  <si>
    <t>Benefits comparison</t>
  </si>
  <si>
    <t>MMA Match Rate</t>
  </si>
  <si>
    <t>Number of EEs</t>
  </si>
  <si>
    <t>Per EE</t>
  </si>
  <si>
    <t>Cost per Employee</t>
  </si>
  <si>
    <t>MMA Region</t>
  </si>
  <si>
    <t>Staff Bonus</t>
  </si>
  <si>
    <t>Bonus per Employee</t>
  </si>
  <si>
    <t>Benefits Toggle (1 = MMA plan)</t>
  </si>
  <si>
    <t>MMA</t>
  </si>
  <si>
    <t>$ in actual</t>
  </si>
  <si>
    <t>Pro Forma</t>
  </si>
  <si>
    <t>Notes to Pro forma</t>
  </si>
  <si>
    <t>Revenue</t>
  </si>
  <si>
    <t>P&amp;C Commissions</t>
  </si>
  <si>
    <t>Gross Commissions &amp; Fees</t>
  </si>
  <si>
    <t>Sub-Broker Expense</t>
  </si>
  <si>
    <t>Net Commissions &amp; Fees</t>
  </si>
  <si>
    <t>Beazley Contingent</t>
  </si>
  <si>
    <t>Contingent Income</t>
  </si>
  <si>
    <t>Investment Income</t>
  </si>
  <si>
    <t>Premium Finance Income</t>
  </si>
  <si>
    <t>Miscellaneous Income</t>
  </si>
  <si>
    <t>Total Revenue</t>
  </si>
  <si>
    <t>Shareholders</t>
  </si>
  <si>
    <t>Staff &amp; Support</t>
  </si>
  <si>
    <t>Compensation Expense</t>
  </si>
  <si>
    <t>Health Insurance</t>
  </si>
  <si>
    <t>MMA: Set to MMA PCS National benefits</t>
  </si>
  <si>
    <t>Medical Insurance</t>
  </si>
  <si>
    <t>Payroll Taxes</t>
  </si>
  <si>
    <t>MMA: Recalculate payroll taxes</t>
  </si>
  <si>
    <t>Employee Retirement Plans</t>
  </si>
  <si>
    <t>MMA: Set to MMA National 401k plan (50% match up to 8% of base salary, effectively 4%)</t>
  </si>
  <si>
    <t>Retirement</t>
  </si>
  <si>
    <t>Benefits Expense</t>
  </si>
  <si>
    <t>Compensation &amp; Benefits</t>
  </si>
  <si>
    <t>Parking &amp; Tolls</t>
  </si>
  <si>
    <t>Travel &amp; Entertainment</t>
  </si>
  <si>
    <t>Automobile</t>
  </si>
  <si>
    <t>Advertising &amp; Marketing</t>
  </si>
  <si>
    <t>Marketing &amp; Advertising</t>
  </si>
  <si>
    <t>Sales &amp; Marketing</t>
  </si>
  <si>
    <t>Office Expenses</t>
  </si>
  <si>
    <t>Facilities &amp; Equipment</t>
  </si>
  <si>
    <t>Accounting Fees</t>
  </si>
  <si>
    <t>Legal Fees</t>
  </si>
  <si>
    <t>Outside Services</t>
  </si>
  <si>
    <t>Software, IT, &amp; Apps</t>
  </si>
  <si>
    <t>IT - Communication</t>
  </si>
  <si>
    <t>Dues and memberships</t>
  </si>
  <si>
    <t>Memberships and subscriptions</t>
  </si>
  <si>
    <t>Licenses Subs &amp; Dues</t>
  </si>
  <si>
    <t>Taxes &amp; Business Insurance</t>
  </si>
  <si>
    <t>Continuing Education</t>
  </si>
  <si>
    <t>Training</t>
  </si>
  <si>
    <t>Employee Expense reimbursement</t>
  </si>
  <si>
    <t>Office Supplies</t>
  </si>
  <si>
    <t>Shipping &amp; Postage</t>
  </si>
  <si>
    <t>Miscellaneous</t>
  </si>
  <si>
    <t>Other Operating Expenses</t>
  </si>
  <si>
    <t>EBITDA</t>
  </si>
  <si>
    <t>EBITDA Margin</t>
  </si>
  <si>
    <t>Depreciation</t>
  </si>
  <si>
    <t>Credit Card Interest</t>
  </si>
  <si>
    <t>Convenience fee income</t>
  </si>
  <si>
    <t>Asset Sale Gain/Loss</t>
  </si>
  <si>
    <t>EBITDA Expenses</t>
  </si>
  <si>
    <t>Check</t>
  </si>
  <si>
    <t xml:space="preserve">Project Rocky </t>
  </si>
  <si>
    <t xml:space="preserve">Finance &amp; Operations Diligence </t>
  </si>
  <si>
    <t xml:space="preserve">June 2026 TTM </t>
  </si>
  <si>
    <t>Project Rocky</t>
  </si>
  <si>
    <t>Pro Forma Financials</t>
  </si>
  <si>
    <t>2025</t>
  </si>
  <si>
    <t xml:space="preserve">TTM </t>
  </si>
  <si>
    <t>Adjustments</t>
  </si>
  <si>
    <t xml:space="preserve">Income Statement </t>
  </si>
  <si>
    <t>Employee Benefits</t>
  </si>
  <si>
    <t>Project Rocky - Employee Roster</t>
  </si>
  <si>
    <t>Coverage</t>
  </si>
  <si>
    <t>Carrier</t>
  </si>
  <si>
    <t>Wholesaler</t>
  </si>
  <si>
    <t>Liab Limit</t>
  </si>
  <si>
    <t>Premium</t>
  </si>
  <si>
    <t>Commission</t>
  </si>
  <si>
    <t>TREO</t>
  </si>
  <si>
    <t>Nomadx</t>
  </si>
  <si>
    <t>$1M</t>
  </si>
  <si>
    <t>AWAC</t>
  </si>
  <si>
    <t>FI PKG</t>
  </si>
  <si>
    <t>Lloyds</t>
  </si>
  <si>
    <t>XL Specialty</t>
  </si>
  <si>
    <t>$5M</t>
  </si>
  <si>
    <t>EO/DO</t>
  </si>
  <si>
    <t>CNA</t>
  </si>
  <si>
    <t>ARC</t>
  </si>
  <si>
    <t>FI Bond</t>
  </si>
  <si>
    <t>$4M</t>
  </si>
  <si>
    <t>Cyber</t>
  </si>
  <si>
    <t>At Bay</t>
  </si>
  <si>
    <t>$2M</t>
  </si>
  <si>
    <t>Association Professional</t>
  </si>
  <si>
    <t>Gemini</t>
  </si>
  <si>
    <t>D&amp;O</t>
  </si>
  <si>
    <t>Arch</t>
  </si>
  <si>
    <t>TBD</t>
  </si>
  <si>
    <t>D&amp;O/ EO/ EPL</t>
  </si>
  <si>
    <t>Corvus</t>
  </si>
  <si>
    <t>Cyber 1st XS</t>
  </si>
  <si>
    <t>E-Risk</t>
  </si>
  <si>
    <t>Coalition</t>
  </si>
  <si>
    <t>EO</t>
  </si>
  <si>
    <t>Houston Casualty</t>
  </si>
  <si>
    <t>Travelers</t>
  </si>
  <si>
    <t>Event Cancellation</t>
  </si>
  <si>
    <t>Fee</t>
  </si>
  <si>
    <t>GL/Spectator Accident</t>
  </si>
  <si>
    <t>ProSight</t>
  </si>
  <si>
    <t>Texas Insurance Co</t>
  </si>
  <si>
    <t>$2.5M</t>
  </si>
  <si>
    <t>Crum &amp; Forster</t>
  </si>
  <si>
    <t>Coaction</t>
  </si>
  <si>
    <t>Convex</t>
  </si>
  <si>
    <t>Hanover Insurance Company</t>
  </si>
  <si>
    <t>Ascot</t>
  </si>
  <si>
    <t>Aegis</t>
  </si>
  <si>
    <t>Amtrust</t>
  </si>
  <si>
    <t>Property</t>
  </si>
  <si>
    <t>Scottsdale</t>
  </si>
  <si>
    <t>CRC</t>
  </si>
  <si>
    <t>On schedule</t>
  </si>
  <si>
    <t>XS</t>
  </si>
  <si>
    <t>Kinsale</t>
  </si>
  <si>
    <t>$1M xs</t>
  </si>
  <si>
    <t>$1M/$2M</t>
  </si>
  <si>
    <t>Private Trust Co</t>
  </si>
  <si>
    <t>QBE</t>
  </si>
  <si>
    <t>$3M</t>
  </si>
  <si>
    <t>DO/EPL</t>
  </si>
  <si>
    <t>Erisk</t>
  </si>
  <si>
    <t>$2M DO
$1M EPL</t>
  </si>
  <si>
    <t>AXA XL</t>
  </si>
  <si>
    <t>CFC</t>
  </si>
  <si>
    <t>Chubb</t>
  </si>
  <si>
    <t>AIG</t>
  </si>
  <si>
    <t>Beazley</t>
  </si>
  <si>
    <t>DO/EO</t>
  </si>
  <si>
    <t>FIB</t>
  </si>
  <si>
    <t>Siriuspoint Specialty</t>
  </si>
  <si>
    <t>EO DO Package</t>
  </si>
  <si>
    <t>XS DO EO</t>
  </si>
  <si>
    <t>Agency Fee</t>
  </si>
  <si>
    <t>Euclid</t>
  </si>
  <si>
    <t>RTS</t>
  </si>
  <si>
    <t>BOP</t>
  </si>
  <si>
    <t>RSUI</t>
  </si>
  <si>
    <t>Everest</t>
  </si>
  <si>
    <t>Huntersure</t>
  </si>
  <si>
    <t>XS TREO</t>
  </si>
  <si>
    <t>Excess</t>
  </si>
  <si>
    <t>WC</t>
  </si>
  <si>
    <t>Hartford</t>
  </si>
  <si>
    <t>Element Risk</t>
  </si>
  <si>
    <t>LPL</t>
  </si>
  <si>
    <t>Crime</t>
  </si>
  <si>
    <t>1M</t>
  </si>
  <si>
    <t>Allied World</t>
  </si>
  <si>
    <t>BOP/UMB</t>
  </si>
  <si>
    <t>$1M/$2M liab, Various Prop</t>
  </si>
  <si>
    <t>EPL/DO</t>
  </si>
  <si>
    <t>Great American</t>
  </si>
  <si>
    <t>At-Bay</t>
  </si>
  <si>
    <t>Lloyds (Hiscox)</t>
  </si>
  <si>
    <t>$1M/$3M</t>
  </si>
  <si>
    <t>TREO incl real estate servcs</t>
  </si>
  <si>
    <t>Accelerant</t>
  </si>
  <si>
    <t>General Security</t>
  </si>
  <si>
    <t>EO/DO/EPL</t>
  </si>
  <si>
    <t>$2M + $500k punitive dam</t>
  </si>
  <si>
    <t>Cyber (Primary)</t>
  </si>
  <si>
    <t>Excess Cyber</t>
  </si>
  <si>
    <t>Boxx (Lloyds)</t>
  </si>
  <si>
    <t>5M</t>
  </si>
  <si>
    <t>Hiscox</t>
  </si>
  <si>
    <t>EPLI</t>
  </si>
  <si>
    <t>Hanover</t>
  </si>
  <si>
    <t>5M xs 5M</t>
  </si>
  <si>
    <t>Axis Surplus Ins Co</t>
  </si>
  <si>
    <t>Nexus</t>
  </si>
  <si>
    <t>XS EO DO</t>
  </si>
  <si>
    <t>Fortgera Specialty</t>
  </si>
  <si>
    <t>Hudson</t>
  </si>
  <si>
    <t>$500k</t>
  </si>
  <si>
    <t>Cyber 1st Excess</t>
  </si>
  <si>
    <t>Indian harbor</t>
  </si>
  <si>
    <t>Cyber 2nd Excess</t>
  </si>
  <si>
    <t>Markel</t>
  </si>
  <si>
    <t>XS Cyber</t>
  </si>
  <si>
    <t>1M xs 1M</t>
  </si>
  <si>
    <t>XS SE</t>
  </si>
  <si>
    <t>Auto</t>
  </si>
  <si>
    <t>Pearl Insurance</t>
  </si>
  <si>
    <t>$2M/$2M</t>
  </si>
  <si>
    <t>Berkley</t>
  </si>
  <si>
    <t>$3M/$3M</t>
  </si>
  <si>
    <t>Various</t>
  </si>
  <si>
    <t>Pearl</t>
  </si>
  <si>
    <t>$1M GL
$5M UMB</t>
  </si>
  <si>
    <t>Upland Specialty</t>
  </si>
  <si>
    <t>1st XS</t>
  </si>
  <si>
    <t>$5M x $5M</t>
  </si>
  <si>
    <t>2nd XS</t>
  </si>
  <si>
    <t>Fair American</t>
  </si>
  <si>
    <t>$5M x $10M</t>
  </si>
  <si>
    <t>3rd XS</t>
  </si>
  <si>
    <t>Accelerant Specialty</t>
  </si>
  <si>
    <t>$5M x $15M</t>
  </si>
  <si>
    <t>4th XS</t>
  </si>
  <si>
    <t>Columbia Casualty</t>
  </si>
  <si>
    <t>$5M x $20M</t>
  </si>
  <si>
    <t>$1/2M GL
$1M UMB</t>
  </si>
  <si>
    <t>CYB</t>
  </si>
  <si>
    <t>Cyber 2nd XS</t>
  </si>
  <si>
    <t>Cyber 3rd XS</t>
  </si>
  <si>
    <t>RIA E&amp;O W/ trustee endt</t>
  </si>
  <si>
    <t>Cyber / TECHEO</t>
  </si>
  <si>
    <t>RT</t>
  </si>
  <si>
    <t>DO+EPL</t>
  </si>
  <si>
    <t>USLI</t>
  </si>
  <si>
    <t>$300K / $100K
Contents</t>
  </si>
  <si>
    <t>Freedom Specialty</t>
  </si>
  <si>
    <t>5M xs 10M</t>
  </si>
  <si>
    <t>Westchester Fire</t>
  </si>
  <si>
    <t>5M xs 15M</t>
  </si>
  <si>
    <t>5M xs 20M</t>
  </si>
  <si>
    <t>DO+EO+EPL</t>
  </si>
  <si>
    <t>Prof Liab (CPA Coverage)</t>
  </si>
  <si>
    <t>Trustee E&amp;O/ D&amp;O</t>
  </si>
  <si>
    <t>XS Trustee E&amp;O/ D&amp;O</t>
  </si>
  <si>
    <t>C&amp;F</t>
  </si>
  <si>
    <t>$1/2M</t>
  </si>
  <si>
    <t>D&amp;O+E&amp;O</t>
  </si>
  <si>
    <t>Balance Sheet</t>
  </si>
  <si>
    <t>As of Jun 30, 2026</t>
  </si>
  <si>
    <t>Assets</t>
  </si>
  <si>
    <t>Current Assets</t>
  </si>
  <si>
    <t>Bank Accounts</t>
  </si>
  <si>
    <t>Chase Business Operating 2157</t>
  </si>
  <si>
    <t>Chase Premium 5805</t>
  </si>
  <si>
    <t>Operating Cash (Trust Restricted)</t>
  </si>
  <si>
    <t>Operating Cash (Unrestricted)</t>
  </si>
  <si>
    <t>Total for Bank Accounts</t>
  </si>
  <si>
    <t>Accounts Receivable</t>
  </si>
  <si>
    <t>Accounts Receivable (A/R)</t>
  </si>
  <si>
    <t>Total for Accounts Receivable</t>
  </si>
  <si>
    <t>Other Current Assets</t>
  </si>
  <si>
    <t>Payments to deposit</t>
  </si>
  <si>
    <t>Total for Other Current Assets</t>
  </si>
  <si>
    <t>Total for Current Assets</t>
  </si>
  <si>
    <t>Fixed Assets</t>
  </si>
  <si>
    <t>Computer and Hardware</t>
  </si>
  <si>
    <t>Total for Fixed Assets</t>
  </si>
  <si>
    <t>Other Assets</t>
  </si>
  <si>
    <t>Security deposits</t>
  </si>
  <si>
    <t>Total for Other Assets</t>
  </si>
  <si>
    <t>Total for Assets</t>
  </si>
  <si>
    <t>Liabilities and Equity</t>
  </si>
  <si>
    <t>Liabilities</t>
  </si>
  <si>
    <t>Current Liabilities</t>
  </si>
  <si>
    <t>Credit Cards</t>
  </si>
  <si>
    <t>Chase - Brudnicki 8695</t>
  </si>
  <si>
    <t>Chase Credit Card - United 8687</t>
  </si>
  <si>
    <t>Total for Credit Cards</t>
  </si>
  <si>
    <t>Other Current Liabilities</t>
  </si>
  <si>
    <t>Commissions Due to Precision</t>
  </si>
  <si>
    <t>Insurance Premiums Owed</t>
  </si>
  <si>
    <t>Total for Other Current Liabilities</t>
  </si>
  <si>
    <t>Total for Current Liabilities</t>
  </si>
  <si>
    <t>Total for Liabilities</t>
  </si>
  <si>
    <t>Equity</t>
  </si>
  <si>
    <t>Opening balance equity</t>
  </si>
  <si>
    <t>Partner distributions</t>
  </si>
  <si>
    <t>Hannah Brudnicki</t>
  </si>
  <si>
    <t>Total for Partner distributions</t>
  </si>
  <si>
    <t>Retained Earnings</t>
  </si>
  <si>
    <t>Total for Equity</t>
  </si>
  <si>
    <t>Total for Liabilities and Equity</t>
  </si>
  <si>
    <t>Trial Balance</t>
  </si>
  <si>
    <t>Account Name</t>
  </si>
  <si>
    <t>Debit</t>
  </si>
  <si>
    <t>Credit</t>
  </si>
  <si>
    <t>Partner distributions:Hannah Brudnicki</t>
  </si>
  <si>
    <t>Employee benefits:Employee retirement plans</t>
  </si>
  <si>
    <t>General business expenses:Bank fees &amp; service charges</t>
  </si>
  <si>
    <t>General business expenses:Continuing education</t>
  </si>
  <si>
    <t>Legal &amp; accounting services:Accounting fees</t>
  </si>
  <si>
    <t>Legal &amp; accounting services:Legal fees</t>
  </si>
  <si>
    <t>Office expenses:Office supplies</t>
  </si>
  <si>
    <t>Office expenses:Shipping &amp; postage</t>
  </si>
  <si>
    <t>Office expenses:Software, IT &amp; apps</t>
  </si>
  <si>
    <t>Payroll expenses:Officers Salary</t>
  </si>
  <si>
    <t>Payroll expenses:Payroll Fees</t>
  </si>
  <si>
    <t>Payroll expenses:Payroll taxes (Company)</t>
  </si>
  <si>
    <t>Payroll expenses:Staff Wages</t>
  </si>
  <si>
    <t>Travel:Airfare</t>
  </si>
  <si>
    <t>Travel:Hotels</t>
  </si>
  <si>
    <t>Travel:Taxis or shared rides</t>
  </si>
  <si>
    <t>Vehicle expenses:Parking &amp; tolls</t>
  </si>
  <si>
    <t>Vehicle expenses:Vehicle gas &amp; fuel</t>
  </si>
  <si>
    <t>TOTAL</t>
  </si>
  <si>
    <t>Accrual Basis Monday, August 03, 2026 10:13 AM GMT-04:00</t>
  </si>
  <si>
    <t>Insured</t>
  </si>
  <si>
    <t>Ex. Date</t>
  </si>
  <si>
    <t>Monthly Premium Totals</t>
  </si>
  <si>
    <t>BP Pymt</t>
  </si>
  <si>
    <t>IPFS+misc</t>
  </si>
  <si>
    <t>Pisces</t>
  </si>
  <si>
    <t>PNC</t>
  </si>
  <si>
    <t>Element</t>
  </si>
  <si>
    <t xml:space="preserve">ATFO, LLC </t>
  </si>
  <si>
    <t>Atinaw, LLC</t>
  </si>
  <si>
    <t xml:space="preserve">Duncan &amp; John C Schmidt </t>
  </si>
  <si>
    <t xml:space="preserve">ARC </t>
  </si>
  <si>
    <t>LB Business Services</t>
  </si>
  <si>
    <t xml:space="preserve">TREO </t>
  </si>
  <si>
    <t>Laura Fisher (Pisces)</t>
  </si>
  <si>
    <t>Sexual Misconduct</t>
  </si>
  <si>
    <t>Allied Medical</t>
  </si>
  <si>
    <t xml:space="preserve">XS EO </t>
  </si>
  <si>
    <t xml:space="preserve">Nautilus </t>
  </si>
  <si>
    <t>Hadron</t>
  </si>
  <si>
    <t>Investors Preferred</t>
  </si>
  <si>
    <t xml:space="preserve">RT </t>
  </si>
  <si>
    <t>Hermes Trust Co</t>
  </si>
  <si>
    <t xml:space="preserve">$4M </t>
  </si>
  <si>
    <t>City Fields Foundation (Pisces)</t>
  </si>
  <si>
    <t>DO</t>
  </si>
  <si>
    <t>The Lions Consulting Group</t>
  </si>
  <si>
    <t xml:space="preserve">Shock the System </t>
  </si>
  <si>
    <t>Lexington</t>
  </si>
  <si>
    <t xml:space="preserve"> ARC</t>
  </si>
  <si>
    <t>Independent Trustee Alliance/ Kevin Quinn</t>
  </si>
  <si>
    <t>ILS (interactive Legal Services)</t>
  </si>
  <si>
    <t xml:space="preserve">Feb 2, 2027
</t>
  </si>
  <si>
    <t>Zurich</t>
  </si>
  <si>
    <t>EBOR (WSG(PTC))</t>
  </si>
  <si>
    <t xml:space="preserve">Feb 2
</t>
  </si>
  <si>
    <t>Lakeside Accounting Solutions, LLC</t>
  </si>
  <si>
    <t>South Dakota Trust Association</t>
  </si>
  <si>
    <t>Center of the Golden One</t>
  </si>
  <si>
    <t xml:space="preserve">TEFAF </t>
  </si>
  <si>
    <t xml:space="preserve">HCC </t>
  </si>
  <si>
    <t xml:space="preserve"> Exhibitor</t>
  </si>
  <si>
    <t>K&amp;K</t>
  </si>
  <si>
    <t>Affinity</t>
  </si>
  <si>
    <t>Chandler Trust</t>
  </si>
  <si>
    <t>$5M/$20M</t>
  </si>
  <si>
    <t>Fortius Metals Inc</t>
  </si>
  <si>
    <t xml:space="preserve">XS  </t>
  </si>
  <si>
    <t>Admiral</t>
  </si>
  <si>
    <t xml:space="preserve">GL </t>
  </si>
  <si>
    <t>Carola PTC LLC</t>
  </si>
  <si>
    <t xml:space="preserve">Cyber 1st XS </t>
  </si>
  <si>
    <t>Intact</t>
  </si>
  <si>
    <t>James Blakey</t>
  </si>
  <si>
    <t xml:space="preserve">Nomadx </t>
  </si>
  <si>
    <t>Marshall Lee Stocker</t>
  </si>
  <si>
    <t>WE Trust</t>
  </si>
  <si>
    <t xml:space="preserve">Hartford </t>
  </si>
  <si>
    <t>Lotus Fiduciary</t>
  </si>
  <si>
    <t>Templar</t>
  </si>
  <si>
    <t xml:space="preserve">$1M </t>
  </si>
  <si>
    <t>Cyber 1st</t>
  </si>
  <si>
    <t>$1M x $1M</t>
  </si>
  <si>
    <t xml:space="preserve">Cyber 2nd </t>
  </si>
  <si>
    <t>$1M x $2M</t>
  </si>
  <si>
    <t>Cyber 3rd</t>
  </si>
  <si>
    <t>$700K SE</t>
  </si>
  <si>
    <t>Barry Thomashow</t>
  </si>
  <si>
    <t>Westerman Foundation</t>
  </si>
  <si>
    <t>DO EPL</t>
  </si>
  <si>
    <t>Ranya Kahtan</t>
  </si>
  <si>
    <t>Clermont Trust USA LLC</t>
  </si>
  <si>
    <t>Dakota Hill (PTC)</t>
  </si>
  <si>
    <t>James Carey Nord</t>
  </si>
  <si>
    <t xml:space="preserve">Ascent Management LLC </t>
  </si>
  <si>
    <t>Westchester</t>
  </si>
  <si>
    <t>Saul Costa</t>
  </si>
  <si>
    <t>Mark Seski</t>
  </si>
  <si>
    <t>Northway Wealth Advisors</t>
  </si>
  <si>
    <t>Gideon Rothschild</t>
  </si>
  <si>
    <t>Charles River</t>
  </si>
  <si>
    <t xml:space="preserve">DO EO </t>
  </si>
  <si>
    <t>1248 Trust Company</t>
  </si>
  <si>
    <t xml:space="preserve">Federal Ins co </t>
  </si>
  <si>
    <t>DO EO</t>
  </si>
  <si>
    <t>Matthew Hoy</t>
  </si>
  <si>
    <t xml:space="preserve"> </t>
  </si>
  <si>
    <t>Manton Foundation</t>
  </si>
  <si>
    <t>DO /EPL</t>
  </si>
  <si>
    <t>Judith Paulk Boyd</t>
  </si>
  <si>
    <t>Astra Management</t>
  </si>
  <si>
    <t xml:space="preserve">Excess </t>
  </si>
  <si>
    <t xml:space="preserve">Federal Insurance </t>
  </si>
  <si>
    <t>Astra PTC</t>
  </si>
  <si>
    <t>Dellwood</t>
  </si>
  <si>
    <t>Chris Utecht</t>
  </si>
  <si>
    <t>Sonic Boom (PTC)</t>
  </si>
  <si>
    <t>Tillman Hartley</t>
  </si>
  <si>
    <t>Northwest Trust</t>
  </si>
  <si>
    <t xml:space="preserve">$5M </t>
  </si>
  <si>
    <t>D&amp;O/EPL</t>
  </si>
  <si>
    <t xml:space="preserve">Northwest Trust </t>
  </si>
  <si>
    <t xml:space="preserve">Golden Heart Foundation </t>
  </si>
  <si>
    <t xml:space="preserve">Convex North America </t>
  </si>
  <si>
    <t xml:space="preserve">Cyber </t>
  </si>
  <si>
    <t xml:space="preserve">BOP </t>
  </si>
  <si>
    <t>Deanna Meehan</t>
  </si>
  <si>
    <t>Pisces Foundation</t>
  </si>
  <si>
    <t>DO/EPL/FL</t>
  </si>
  <si>
    <t>Philly</t>
  </si>
  <si>
    <t xml:space="preserve"> Thomas John (TJ) Schrette</t>
  </si>
  <si>
    <t>Trustease</t>
  </si>
  <si>
    <t>Arch Spec</t>
  </si>
  <si>
    <t>John Dunnell</t>
  </si>
  <si>
    <t>David Amar</t>
  </si>
  <si>
    <t xml:space="preserve">Jun 1
</t>
  </si>
  <si>
    <t>Foundation Financial (Brody Rosenfeld)</t>
  </si>
  <si>
    <t xml:space="preserve">Jun 5
</t>
  </si>
  <si>
    <t>Lloyds of London</t>
  </si>
  <si>
    <t>Axiom Financials LLC</t>
  </si>
  <si>
    <t>A7P</t>
  </si>
  <si>
    <t>HDI Global</t>
  </si>
  <si>
    <t xml:space="preserve">A7P </t>
  </si>
  <si>
    <t xml:space="preserve">Jun 11
</t>
  </si>
  <si>
    <t xml:space="preserve">Corvus/Travelers </t>
  </si>
  <si>
    <t xml:space="preserve">June 11
</t>
  </si>
  <si>
    <t>Erisk/Scottsdale</t>
  </si>
  <si>
    <t>Scott Suzuki</t>
  </si>
  <si>
    <t>David Holland (Holland Trustees)</t>
  </si>
  <si>
    <t>Jennifer McCloskey (Zelvin Law)</t>
  </si>
  <si>
    <t>Randy Lewis</t>
  </si>
  <si>
    <t>Steven A. Braun</t>
  </si>
  <si>
    <t>Morton Branzburg</t>
  </si>
  <si>
    <t>Jim Zwiers</t>
  </si>
  <si>
    <t>TD Controllo</t>
  </si>
  <si>
    <t>Homesite Insurance</t>
  </si>
  <si>
    <t>Dallas College Foundation</t>
  </si>
  <si>
    <t>Loyal Trust 2 - Hunt Brothers</t>
  </si>
  <si>
    <t>Norte Health Consulting, LLC</t>
  </si>
  <si>
    <t xml:space="preserve">Li-Costa Living Trust </t>
  </si>
  <si>
    <t xml:space="preserve">Crum &amp; Forster </t>
  </si>
  <si>
    <t xml:space="preserve">Edelweiss V LLC </t>
  </si>
  <si>
    <t>FO TREO</t>
  </si>
  <si>
    <t xml:space="preserve">MSIC USA </t>
  </si>
  <si>
    <t>Northeast Private Trustee, Ltd.</t>
  </si>
  <si>
    <t xml:space="preserve">Borchers Cusano Trust Law </t>
  </si>
  <si>
    <t>Borchers + Northeast</t>
  </si>
  <si>
    <t>Richard Neely</t>
  </si>
  <si>
    <t xml:space="preserve">Kevin Bemel </t>
  </si>
  <si>
    <t xml:space="preserve">Allied World </t>
  </si>
  <si>
    <t xml:space="preserve">$3M </t>
  </si>
  <si>
    <t>Dallas College Enterprise Ventures</t>
  </si>
  <si>
    <t xml:space="preserve">AIG </t>
  </si>
  <si>
    <t xml:space="preserve">2.5M </t>
  </si>
  <si>
    <t>Trustee Services Group</t>
  </si>
  <si>
    <t xml:space="preserve">Excess Cyber </t>
  </si>
  <si>
    <t xml:space="preserve">Westfield </t>
  </si>
  <si>
    <t xml:space="preserve">Ironshore </t>
  </si>
  <si>
    <t xml:space="preserve">EPL </t>
  </si>
  <si>
    <t>Lloyd Levidow</t>
  </si>
  <si>
    <t>Trinity Fiduciary Services 
Greg Kummer</t>
  </si>
  <si>
    <t xml:space="preserve">Janette Brooks (D4) </t>
  </si>
  <si>
    <t xml:space="preserve">Excess Liability </t>
  </si>
  <si>
    <t xml:space="preserve">Huntersure </t>
  </si>
  <si>
    <t>2M xs 1M</t>
  </si>
  <si>
    <t>ERISA</t>
  </si>
  <si>
    <t xml:space="preserve">Edward White for Jack Nicholson </t>
  </si>
  <si>
    <t xml:space="preserve">Homesite (Bowhead) </t>
  </si>
  <si>
    <t>James Benedek</t>
  </si>
  <si>
    <t>Crawford Trust  extention to Oct</t>
  </si>
  <si>
    <t xml:space="preserve">Crawford Trust </t>
  </si>
  <si>
    <t>Crawford Trust extention to Oct</t>
  </si>
  <si>
    <t>Lawrence (Larry) Lahr</t>
  </si>
  <si>
    <t>`</t>
  </si>
  <si>
    <t xml:space="preserve">Herman Smith </t>
  </si>
  <si>
    <t xml:space="preserve">DO/EO </t>
  </si>
  <si>
    <t xml:space="preserve">At-Bay </t>
  </si>
  <si>
    <t xml:space="preserve">E-Risk </t>
  </si>
  <si>
    <t>1M xs 2M</t>
  </si>
  <si>
    <t xml:space="preserve">Joe Mitchell </t>
  </si>
  <si>
    <t>Mitchell Rosen (Commercial Real Estate Solutions of Arizona)</t>
  </si>
  <si>
    <t>Pendleton Trust Company</t>
  </si>
  <si>
    <t>Cincinnati Ins Co</t>
  </si>
  <si>
    <t>XS Crime</t>
  </si>
  <si>
    <t>Lubeck Gallo Family</t>
  </si>
  <si>
    <t xml:space="preserve">Erie Family Foundation </t>
  </si>
  <si>
    <t>Everest Indeminity</t>
  </si>
  <si>
    <t xml:space="preserve">Howard Choder (HJC Consulting) </t>
  </si>
  <si>
    <t xml:space="preserve">Center of the Golden One (Miracle of Love) </t>
  </si>
  <si>
    <t xml:space="preserve">DO/EPL </t>
  </si>
  <si>
    <t xml:space="preserve">Scottsdale </t>
  </si>
  <si>
    <t>Don Parkhill</t>
  </si>
  <si>
    <t xml:space="preserve">Corvalier Trust Company (Whold Co.) </t>
  </si>
  <si>
    <t>Baysore &amp; Christian</t>
  </si>
  <si>
    <t xml:space="preserve">Umbrella </t>
  </si>
  <si>
    <t xml:space="preserve">DO </t>
  </si>
  <si>
    <t xml:space="preserve">EPLI </t>
  </si>
  <si>
    <t xml:space="preserve">$500K xs $500K </t>
  </si>
  <si>
    <t>Felix Group</t>
  </si>
  <si>
    <t xml:space="preserve">XS TREO </t>
  </si>
  <si>
    <t>$500K</t>
  </si>
  <si>
    <t>Wind River Trust Company</t>
  </si>
  <si>
    <t>Kelly Winquist (KW Consulting Services)</t>
  </si>
  <si>
    <t xml:space="preserve">Edward White &amp; Tina Moss as Trustee for Jerome Moss </t>
  </si>
  <si>
    <t>Shaun Leathem</t>
  </si>
  <si>
    <t>Cherry Hill Investments LLC</t>
  </si>
  <si>
    <t>James Matthew Farris</t>
  </si>
  <si>
    <t>Amani LLC</t>
  </si>
  <si>
    <t>Precision Brokers LLC</t>
  </si>
  <si>
    <t xml:space="preserve">$1M  </t>
  </si>
  <si>
    <t xml:space="preserve">Bristlecone Enterprises, Inc. </t>
  </si>
  <si>
    <t>EO / DO / EPL</t>
  </si>
  <si>
    <t>Bristlecone Enterprises, Inc.</t>
  </si>
  <si>
    <t xml:space="preserve">Hanover </t>
  </si>
  <si>
    <t>Fortegra Specialty</t>
  </si>
  <si>
    <t xml:space="preserve"> XS SE Only</t>
  </si>
  <si>
    <t>Westerman Family Office</t>
  </si>
  <si>
    <t>Robert Moore</t>
  </si>
  <si>
    <t>Joseph Roskos</t>
  </si>
  <si>
    <t>2M</t>
  </si>
  <si>
    <t>Trustee Texas c/o Kevin Quinn</t>
  </si>
  <si>
    <t>Marlborough Galleries Inc</t>
  </si>
  <si>
    <t xml:space="preserve">HDI Global / Falcon </t>
  </si>
  <si>
    <t>Leytonstone PTC, Inc</t>
  </si>
  <si>
    <t>Maze PTC, Inc</t>
  </si>
  <si>
    <t>Diana Beinart</t>
  </si>
  <si>
    <t>Cyber Primary</t>
  </si>
  <si>
    <t>Boxx</t>
  </si>
  <si>
    <t>Cyber 2nd xs</t>
  </si>
  <si>
    <t>Kyle Gene Waggoner</t>
  </si>
  <si>
    <t>Pisces Inc.</t>
  </si>
  <si>
    <t>Falcon, CNA, Everest, Sompo</t>
  </si>
  <si>
    <t>CAN</t>
  </si>
  <si>
    <t>At-Bay, BOXX, Scottsdale</t>
  </si>
  <si>
    <t>$3M
$1M SE</t>
  </si>
  <si>
    <t>Madsen Assets</t>
  </si>
  <si>
    <t>Lorenz</t>
  </si>
  <si>
    <t>Focus Private Trust Co</t>
  </si>
  <si>
    <t>Premium &amp; Commission</t>
  </si>
  <si>
    <t>Pro-Rated Premium &amp; Commision (12M)</t>
  </si>
  <si>
    <t>BP Actual</t>
  </si>
  <si>
    <t>IPFS + Misc</t>
  </si>
  <si>
    <t>Anticipated additional Profit Commission</t>
  </si>
  <si>
    <t xml:space="preserve">increase BP for SPL </t>
  </si>
  <si>
    <t xml:space="preserve">Pipeline </t>
  </si>
  <si>
    <t>Notes</t>
  </si>
  <si>
    <t xml:space="preserve">This spreadsheet is a rolling year. We have bound all policies up to 7/31/26.  8/1/26-12/31/26 are etsimated based on last years boob abd filed BORs </t>
  </si>
  <si>
    <t>All Elememt Risk PC will move to MMA and commissions are estimated</t>
  </si>
  <si>
    <t>.</t>
  </si>
  <si>
    <t>Nomadx commissions are left blank because we receive the distribution from BP</t>
  </si>
  <si>
    <t>We listed key new business.  That definition is we are either alredy in the market, received a BOR or under an NDA.  We have additional NB in the pipeline but not quite to the 75% sure level.</t>
  </si>
  <si>
    <r>
      <t>1.</t>
    </r>
    <r>
      <rPr>
        <b/>
        <sz val="11"/>
        <rFont val="Calibri"/>
        <family val="2"/>
        <scheme val="minor"/>
      </rPr>
      <t>Hall &amp; Diana</t>
    </r>
    <r>
      <rPr>
        <sz val="12"/>
        <color theme="1"/>
        <rFont val="Calibri"/>
        <family val="2"/>
        <scheme val="minor"/>
      </rPr>
      <t xml:space="preserve"> Premium apx $45k split between nomadx and excess
2.</t>
    </r>
    <r>
      <rPr>
        <b/>
        <sz val="11"/>
        <color theme="1"/>
        <rFont val="Calibri"/>
        <family val="2"/>
        <scheme val="minor"/>
      </rPr>
      <t>Confidential Family Office</t>
    </r>
    <r>
      <rPr>
        <sz val="12"/>
        <color theme="1"/>
        <rFont val="Calibri"/>
        <family val="2"/>
        <scheme val="minor"/>
      </rPr>
      <t xml:space="preserve"> PTC premium est $75K Commission 10K
3. </t>
    </r>
    <r>
      <rPr>
        <b/>
        <sz val="11"/>
        <color theme="1"/>
        <rFont val="Calibri"/>
        <family val="2"/>
        <scheme val="minor"/>
      </rPr>
      <t>Hilman</t>
    </r>
    <r>
      <rPr>
        <sz val="12"/>
        <color theme="1"/>
        <rFont val="Calibri"/>
        <family val="2"/>
        <scheme val="minor"/>
      </rPr>
      <t xml:space="preserve"> Trustee liability est $75K Premium $10k Comm
4.</t>
    </r>
    <r>
      <rPr>
        <b/>
        <sz val="11"/>
        <rFont val="Calibri"/>
        <family val="2"/>
        <scheme val="minor"/>
      </rPr>
      <t>Wealth Advisor Trust Company</t>
    </r>
    <r>
      <rPr>
        <sz val="12"/>
        <color theme="1"/>
        <rFont val="Calibri"/>
        <family val="2"/>
        <scheme val="minor"/>
      </rPr>
      <t xml:space="preserve"> $50K Premium $7.5 comm</t>
    </r>
  </si>
  <si>
    <t>As of Dec 31, 2025</t>
  </si>
  <si>
    <t xml:space="preserve">Footnote: Precision Brokers’ balance sheet reflects both client premiums receivable and premiums payable to carriers. The portion of premiums representing commissions due to Precision is recorded as an offset against the carrier liability, reducing the total payable balance. Revenue is recognized when commissions are swept from the premium trust account to the operating account, at which point the income statement reflects earned   commissions.
</t>
  </si>
  <si>
    <t>Accrual Basis Wednesday, July 29, 2026 11:35 AM GMT-06:00</t>
  </si>
  <si>
    <t>As of Dec 31, 2024</t>
  </si>
  <si>
    <t>Accrual Basis Wednesday, July 29, 2026 11:36 AM GMT-06:00</t>
  </si>
  <si>
    <t>Trending Balance Sheet</t>
  </si>
  <si>
    <t>Top Client Accounts</t>
  </si>
  <si>
    <t>Client</t>
  </si>
  <si>
    <t>Commissions</t>
  </si>
  <si>
    <t>Marlborough Galleries Inc &amp; Hermes Trust Co</t>
  </si>
  <si>
    <t>Astra Management &amp; Astra PTC</t>
  </si>
  <si>
    <t xml:space="preserve">Top 15 Accounts </t>
  </si>
  <si>
    <t xml:space="preserve">All Other Accounts </t>
  </si>
  <si>
    <t xml:space="preserve">Total Accounts </t>
  </si>
  <si>
    <t>% of Total</t>
  </si>
  <si>
    <t xml:space="preserve">Commentary </t>
  </si>
  <si>
    <t>Top Wholesalers</t>
  </si>
  <si>
    <t>RT &amp; RTS</t>
  </si>
  <si>
    <t xml:space="preserve">Total </t>
  </si>
  <si>
    <t>All Other</t>
  </si>
  <si>
    <t>MMA: Removal of non-recurring expense related to set up of a profit sharing plan</t>
  </si>
  <si>
    <t>MMA: Delta between Book of Business (Production Report) and P&amp;L</t>
  </si>
  <si>
    <t xml:space="preserve">MMA: Set to cost per head for PCSN Denver office space </t>
  </si>
  <si>
    <t>MMA: Set Judy to go forward compensation structure</t>
  </si>
  <si>
    <t>MMA: Set to salary roster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</si>
</sst>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6" formatCode="&quot;$&quot;#,##0_);[Red]\(&quot;$&quot;#,##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_(* #,##0_);_(* \(#,##0\);_(* &quot;   -&quot;?_);_(@_)"/>
    <numFmt numFmtId="167" formatCode="_(* #,##0.0_);_(* \(#,##0.0\);_(* &quot;-&quot;?_);_(@_)"/>
    <numFmt numFmtId="168" formatCode="[$-409]mmm\-yy;@"/>
    <numFmt numFmtId="169" formatCode="_(* #,##0.0_);_(* \(#,##0.0\);_(* &quot;-&quot;??_);_(@_)"/>
    <numFmt numFmtId="170" formatCode="#,##0.000"/>
    <numFmt numFmtId="171" formatCode="_(* #,##0.0%_);_(* \(#,##0.0%\);_(* &quot; - &quot;_);_(* @_)"/>
    <numFmt numFmtId="172" formatCode="mmm\ d"/>
    <numFmt numFmtId="173" formatCode="m/d;@"/>
    <numFmt numFmtId="174" formatCode="&quot;$&quot;#,##0"/>
    <numFmt numFmtId="175" formatCode="_(&quot;$&quot;* #,##0_);_(&quot;$&quot;* \(#,##0\);_(&quot;$&quot;* &quot;-&quot;??_);_(@_)"/>
  </numFmts>
  <fonts count="51" x14ac:knownFonts="1">
    <font>
      <sz val="12"/>
      <color theme="1"/>
      <name val="Calibri"/>
      <family val="2"/>
      <scheme val="minor"/>
    </font>
    <font>
      <sz val="11"/>
      <color theme="1"/>
      <name val="Calibri"/>
      <family val="2"/>
      <scheme val="minor"/>
    </font>
    <font>
      <b/>
      <sz val="12"/>
      <color theme="1"/>
      <name val="Calibri"/>
      <family val="2"/>
      <scheme val="minor"/>
    </font>
    <font>
      <sz val="8"/>
      <color theme="1"/>
      <name val="Arial"/>
      <family val="2"/>
    </font>
    <font>
      <b/>
      <sz val="9"/>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11"/>
      <color theme="0"/>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1"/>
      <color rgb="FFFFFFFF"/>
      <name val="Calibri"/>
      <family val="2"/>
      <scheme val="minor"/>
    </font>
    <font>
      <b/>
      <sz val="11"/>
      <name val="Calibri"/>
      <family val="2"/>
      <scheme val="minor"/>
    </font>
    <font>
      <b/>
      <u val="singleAccounting"/>
      <sz val="11"/>
      <color theme="0"/>
      <name val="Calibri"/>
      <family val="2"/>
      <scheme val="minor"/>
    </font>
    <font>
      <i/>
      <sz val="11"/>
      <color theme="1"/>
      <name val="Calibri"/>
      <family val="2"/>
      <scheme val="minor"/>
    </font>
    <font>
      <b/>
      <i/>
      <sz val="10"/>
      <name val="Arial"/>
      <family val="2"/>
    </font>
    <font>
      <sz val="11"/>
      <color indexed="12"/>
      <name val="Calibri"/>
      <family val="2"/>
      <scheme val="minor"/>
    </font>
    <font>
      <sz val="11"/>
      <color theme="6"/>
      <name val="Calibri"/>
      <family val="2"/>
      <scheme val="minor"/>
    </font>
    <font>
      <i/>
      <sz val="11"/>
      <color theme="6"/>
      <name val="Calibri"/>
      <family val="2"/>
      <scheme val="minor"/>
    </font>
    <font>
      <sz val="9"/>
      <name val="Arial"/>
      <family val="2"/>
    </font>
    <font>
      <i/>
      <sz val="11"/>
      <name val="Calibri"/>
      <family val="2"/>
      <scheme val="minor"/>
    </font>
    <font>
      <sz val="11"/>
      <color rgb="FF00B050"/>
      <name val="Calibri"/>
      <family val="2"/>
      <scheme val="minor"/>
    </font>
    <font>
      <sz val="11"/>
      <color rgb="FF008000"/>
      <name val="Calibri"/>
      <family val="2"/>
      <scheme val="minor"/>
    </font>
    <font>
      <sz val="10"/>
      <color indexed="12"/>
      <name val="Arial"/>
      <family val="2"/>
    </font>
    <font>
      <i/>
      <sz val="11"/>
      <color rgb="FFAB248C"/>
      <name val="Calibri"/>
      <family val="2"/>
      <scheme val="minor"/>
    </font>
    <font>
      <b/>
      <i/>
      <sz val="11"/>
      <color theme="0"/>
      <name val="Calibri"/>
      <family val="2"/>
      <scheme val="minor"/>
    </font>
    <font>
      <b/>
      <u/>
      <sz val="11"/>
      <name val="Calibri"/>
      <family val="2"/>
      <scheme val="minor"/>
    </font>
    <font>
      <sz val="11"/>
      <color rgb="FF0000FF"/>
      <name val="Calibri"/>
      <family val="2"/>
      <scheme val="minor"/>
    </font>
    <font>
      <sz val="11"/>
      <color rgb="FF455560"/>
      <name val="Calibri"/>
      <family val="2"/>
    </font>
    <font>
      <b/>
      <sz val="11"/>
      <name val="Calibri"/>
      <family val="2"/>
    </font>
    <font>
      <b/>
      <sz val="26"/>
      <color rgb="FF002060"/>
      <name val="Calibri"/>
      <family val="2"/>
      <scheme val="minor"/>
    </font>
    <font>
      <sz val="12"/>
      <color rgb="FF002060"/>
      <name val="Calibri"/>
      <family val="2"/>
      <scheme val="minor"/>
    </font>
    <font>
      <b/>
      <sz val="14"/>
      <color rgb="FF002060"/>
      <name val="Calibri"/>
      <family val="2"/>
      <scheme val="minor"/>
    </font>
    <font>
      <b/>
      <sz val="14"/>
      <color rgb="FF002060"/>
      <name val="Arial"/>
      <family val="2"/>
    </font>
    <font>
      <b/>
      <sz val="12"/>
      <color rgb="FF002060"/>
      <name val="Arial"/>
      <family val="2"/>
    </font>
    <font>
      <sz val="10"/>
      <color theme="1"/>
      <name val="Arial"/>
      <family val="2"/>
    </font>
    <font>
      <sz val="10"/>
      <color rgb="FF5B6770"/>
      <name val="Arial"/>
      <family val="2"/>
    </font>
    <font>
      <b/>
      <sz val="11"/>
      <name val="Arial"/>
      <family val="2"/>
    </font>
    <font>
      <sz val="11"/>
      <name val="Arial"/>
      <family val="2"/>
    </font>
    <font>
      <sz val="11"/>
      <name val="Arial"/>
      <family val="2"/>
      <charset val="1"/>
    </font>
    <font>
      <sz val="12"/>
      <name val="Arial"/>
      <family val="2"/>
    </font>
    <font>
      <sz val="11"/>
      <name val="Aptos Display"/>
      <family val="2"/>
    </font>
    <font>
      <sz val="16"/>
      <name val="Arial"/>
      <family val="2"/>
    </font>
    <font>
      <sz val="8"/>
      <color rgb="FF000000"/>
      <name val="Times New Roman"/>
      <family val="1"/>
    </font>
    <font>
      <sz val="12"/>
      <color theme="1"/>
      <name val="Calibri"/>
      <family val="2"/>
      <scheme val="minor"/>
    </font>
    <font>
      <sz val="12"/>
      <color theme="0"/>
      <name val="Calibri"/>
      <family val="2"/>
      <scheme val="minor"/>
    </font>
    <font>
      <b/>
      <sz val="12"/>
      <color theme="0"/>
      <name val="Calibri"/>
      <family val="2"/>
      <scheme val="minor"/>
    </font>
    <font>
      <i/>
      <sz val="12"/>
      <color theme="0"/>
      <name val="Calibri"/>
      <family val="2"/>
      <scheme val="minor"/>
    </font>
  </fonts>
  <fills count="16">
    <fill>
      <patternFill patternType="none"/>
    </fill>
    <fill>
      <patternFill patternType="gray125"/>
    </fill>
    <fill>
      <patternFill patternType="solid">
        <fgColor rgb="FF004180"/>
        <bgColor indexed="64"/>
      </patternFill>
    </fill>
    <fill>
      <patternFill patternType="solid">
        <fgColor theme="6"/>
        <bgColor indexed="64"/>
      </patternFill>
    </fill>
    <fill>
      <patternFill patternType="solid">
        <fgColor rgb="FF00AFD3"/>
        <bgColor indexed="64"/>
      </patternFill>
    </fill>
    <fill>
      <patternFill patternType="solid">
        <fgColor rgb="FF7BBF43"/>
        <bgColor indexed="64"/>
      </patternFill>
    </fill>
    <fill>
      <patternFill patternType="solid">
        <fgColor theme="8"/>
        <bgColor indexed="64"/>
      </patternFill>
    </fill>
    <fill>
      <patternFill patternType="solid">
        <fgColor theme="0" tint="-0.14999847407452621"/>
        <bgColor indexed="64"/>
      </patternFill>
    </fill>
    <fill>
      <patternFill patternType="solid">
        <fgColor theme="0"/>
        <bgColor indexed="64"/>
      </patternFill>
    </fill>
    <fill>
      <patternFill patternType="solid">
        <fgColor rgb="FFF2F2F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E1E1"/>
        <bgColor indexed="64"/>
      </patternFill>
    </fill>
    <fill>
      <patternFill patternType="solid">
        <fgColor rgb="FF002060"/>
        <bgColor indexed="64"/>
      </patternFill>
    </fill>
    <fill>
      <patternFill patternType="solid">
        <fgColor rgb="FFFFFF00"/>
        <bgColor indexed="64"/>
      </patternFill>
    </fill>
  </fills>
  <borders count="38">
    <border>
      <left/>
      <right/>
      <top/>
      <bottom/>
      <diagonal/>
    </border>
    <border>
      <left/>
      <right/>
      <top/>
      <bottom style="thin">
        <color auto="1"/>
      </bottom>
      <diagonal/>
    </border>
    <border>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hair">
        <color auto="1"/>
      </left>
      <right style="medium">
        <color indexed="64"/>
      </right>
      <top style="hair">
        <color auto="1"/>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auto="1"/>
      </left>
      <right style="medium">
        <color indexed="64"/>
      </right>
      <top/>
      <bottom style="hair">
        <color auto="1"/>
      </bottom>
      <diagonal/>
    </border>
    <border>
      <left style="hair">
        <color auto="1"/>
      </left>
      <right style="medium">
        <color indexed="64"/>
      </right>
      <top style="hair">
        <color auto="1"/>
      </top>
      <bottom style="medium">
        <color indexed="64"/>
      </bottom>
      <diagonal/>
    </border>
    <border>
      <left/>
      <right style="medium">
        <color indexed="64"/>
      </right>
      <top/>
      <bottom style="hair">
        <color auto="1"/>
      </bottom>
      <diagonal/>
    </border>
    <border>
      <left style="hair">
        <color auto="1"/>
      </left>
      <right style="hair">
        <color auto="1"/>
      </right>
      <top style="hair">
        <color auto="1"/>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style="hair">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0" fontId="2" fillId="0" borderId="1"/>
    <xf numFmtId="0" fontId="2" fillId="0" borderId="0"/>
    <xf numFmtId="0" fontId="2" fillId="0" borderId="2"/>
    <xf numFmtId="0" fontId="1" fillId="0" borderId="0"/>
    <xf numFmtId="43" fontId="1" fillId="0" borderId="0" applyFont="0" applyFill="0" applyBorder="0" applyAlignment="0" applyProtection="0"/>
    <xf numFmtId="0" fontId="22" fillId="0" borderId="0"/>
    <xf numFmtId="165" fontId="26" fillId="0" borderId="11">
      <alignment horizontal="right"/>
    </xf>
    <xf numFmtId="167" fontId="26" fillId="0" borderId="11">
      <alignment horizontal="right"/>
    </xf>
    <xf numFmtId="9" fontId="1" fillId="0" borderId="0" applyFont="0" applyFill="0" applyBorder="0" applyAlignment="0" applyProtection="0"/>
    <xf numFmtId="9" fontId="31" fillId="0" borderId="0" applyFont="0" applyFill="0" applyBorder="0" applyAlignment="0" applyProtection="0"/>
    <xf numFmtId="0" fontId="38" fillId="0" borderId="0"/>
    <xf numFmtId="44" fontId="38" fillId="0" borderId="0" applyFont="0" applyFill="0" applyBorder="0" applyAlignment="0" applyProtection="0"/>
    <xf numFmtId="0" fontId="39" fillId="0" borderId="0"/>
    <xf numFmtId="44" fontId="1"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cellStyleXfs>
  <cellXfs count="366">
    <xf numFmtId="0" fontId="0" fillId="0" borderId="0" xfId="0"/>
    <xf numFmtId="0" fontId="0" fillId="0" borderId="0" xfId="0" applyAlignment="1">
      <alignment wrapText="1"/>
    </xf>
    <xf numFmtId="0" fontId="3" fillId="0" borderId="0" xfId="0" applyFont="1" applyAlignment="1">
      <alignment horizontal="left" wrapText="1"/>
    </xf>
    <xf numFmtId="0" fontId="3" fillId="0" borderId="0" xfId="0" applyFont="1" applyAlignment="1">
      <alignment horizontal="left" wrapText="1" indent="1"/>
    </xf>
    <xf numFmtId="0" fontId="5" fillId="0" borderId="0" xfId="0" applyFont="1" applyAlignment="1">
      <alignment horizontal="left" wrapText="1"/>
    </xf>
    <xf numFmtId="0" fontId="3" fillId="0" borderId="0" xfId="0" applyFont="1" applyAlignment="1">
      <alignment horizontal="left" wrapText="1" indent="2"/>
    </xf>
    <xf numFmtId="0" fontId="5" fillId="0" borderId="0" xfId="0" applyFont="1" applyAlignment="1">
      <alignment horizontal="left" wrapText="1" indent="1"/>
    </xf>
    <xf numFmtId="0" fontId="4" fillId="0" borderId="1" xfId="1" applyFont="1" applyAlignment="1">
      <alignment horizontal="center" wrapText="1"/>
    </xf>
    <xf numFmtId="4" fontId="3" fillId="0" borderId="0" xfId="0" applyNumberFormat="1" applyFont="1" applyAlignment="1">
      <alignment wrapText="1"/>
    </xf>
    <xf numFmtId="164" fontId="5" fillId="0" borderId="2" xfId="0" applyNumberFormat="1" applyFont="1" applyBorder="1" applyAlignment="1">
      <alignment wrapText="1"/>
    </xf>
    <xf numFmtId="164" fontId="3" fillId="0" borderId="0" xfId="0" applyNumberFormat="1" applyFont="1" applyAlignment="1">
      <alignment wrapText="1"/>
    </xf>
    <xf numFmtId="0" fontId="3" fillId="0" borderId="0" xfId="0" applyFont="1" applyAlignment="1">
      <alignment wrapText="1"/>
    </xf>
    <xf numFmtId="0" fontId="12" fillId="0" borderId="0" xfId="4" applyFont="1"/>
    <xf numFmtId="0" fontId="1" fillId="0" borderId="0" xfId="4"/>
    <xf numFmtId="0" fontId="13" fillId="0" borderId="0" xfId="4" applyFont="1"/>
    <xf numFmtId="0" fontId="13" fillId="0" borderId="0" xfId="5" applyNumberFormat="1" applyFont="1" applyFill="1" applyBorder="1" applyAlignment="1">
      <alignment horizontal="left" vertical="center" indent="1"/>
    </xf>
    <xf numFmtId="0" fontId="11" fillId="0" borderId="0" xfId="4" applyFont="1" applyAlignment="1">
      <alignment horizontal="centerContinuous"/>
    </xf>
    <xf numFmtId="41" fontId="1" fillId="0" borderId="0" xfId="4" applyNumberFormat="1"/>
    <xf numFmtId="0" fontId="13" fillId="2" borderId="0" xfId="4" applyFont="1" applyFill="1" applyAlignment="1">
      <alignment horizontal="left"/>
    </xf>
    <xf numFmtId="0" fontId="14" fillId="2" borderId="0" xfId="4" applyFont="1" applyFill="1" applyAlignment="1">
      <alignment horizontal="center" vertical="top" readingOrder="1"/>
    </xf>
    <xf numFmtId="0" fontId="1" fillId="2" borderId="0" xfId="4" applyFill="1"/>
    <xf numFmtId="0" fontId="15" fillId="2" borderId="0" xfId="4" applyFont="1" applyFill="1" applyAlignment="1">
      <alignment horizontal="center" vertical="center"/>
    </xf>
    <xf numFmtId="0" fontId="16" fillId="2" borderId="0" xfId="4" applyFont="1" applyFill="1" applyAlignment="1">
      <alignment horizontal="centerContinuous"/>
    </xf>
    <xf numFmtId="0" fontId="16" fillId="3" borderId="0" xfId="4" applyFont="1" applyFill="1" applyAlignment="1">
      <alignment horizontal="centerContinuous"/>
    </xf>
    <xf numFmtId="0" fontId="16" fillId="4" borderId="0" xfId="4" applyFont="1" applyFill="1" applyAlignment="1">
      <alignment horizontal="centerContinuous"/>
    </xf>
    <xf numFmtId="0" fontId="16" fillId="0" borderId="0" xfId="4" applyFont="1" applyAlignment="1">
      <alignment horizontal="centerContinuous"/>
    </xf>
    <xf numFmtId="0" fontId="15" fillId="5" borderId="3" xfId="4" applyFont="1" applyFill="1" applyBorder="1" applyAlignment="1">
      <alignment horizontal="center" vertical="center"/>
    </xf>
    <xf numFmtId="0" fontId="15" fillId="0" borderId="0" xfId="4" applyFont="1" applyAlignment="1">
      <alignment horizontal="center" vertical="center"/>
    </xf>
    <xf numFmtId="0" fontId="1" fillId="0" borderId="0" xfId="4" applyAlignment="1">
      <alignment horizontal="center"/>
    </xf>
    <xf numFmtId="0" fontId="15" fillId="6" borderId="0" xfId="4" applyFont="1" applyFill="1" applyAlignment="1">
      <alignment horizontal="center" vertical="center"/>
    </xf>
    <xf numFmtId="0" fontId="15" fillId="2" borderId="0" xfId="4" applyFont="1" applyFill="1" applyAlignment="1">
      <alignment vertical="center"/>
    </xf>
    <xf numFmtId="0" fontId="15" fillId="3" borderId="0" xfId="4" applyFont="1" applyFill="1" applyAlignment="1">
      <alignment horizontal="center" vertical="center"/>
    </xf>
    <xf numFmtId="0" fontId="15" fillId="4" borderId="0" xfId="4" applyFont="1" applyFill="1" applyAlignment="1">
      <alignment horizontal="center" vertical="center"/>
    </xf>
    <xf numFmtId="0" fontId="15" fillId="5" borderId="4" xfId="4" applyFont="1" applyFill="1" applyBorder="1" applyAlignment="1">
      <alignment horizontal="center" vertical="center"/>
    </xf>
    <xf numFmtId="0" fontId="15" fillId="6" borderId="0" xfId="4" applyFont="1" applyFill="1" applyAlignment="1">
      <alignment horizontal="right" vertical="center"/>
    </xf>
    <xf numFmtId="0" fontId="1" fillId="0" borderId="4" xfId="4" applyBorder="1"/>
    <xf numFmtId="37" fontId="1" fillId="0" borderId="0" xfId="4" applyNumberFormat="1" applyAlignment="1">
      <alignment horizontal="center"/>
    </xf>
    <xf numFmtId="0" fontId="0" fillId="0" borderId="0" xfId="4" applyFont="1"/>
    <xf numFmtId="0" fontId="13" fillId="0" borderId="0" xfId="4" applyFont="1" applyAlignment="1">
      <alignment horizontal="left" vertical="center"/>
    </xf>
    <xf numFmtId="41" fontId="1" fillId="0" borderId="0" xfId="5" applyNumberFormat="1" applyFont="1" applyFill="1" applyAlignment="1">
      <alignment horizontal="left"/>
    </xf>
    <xf numFmtId="41" fontId="1" fillId="0" borderId="0" xfId="5" applyNumberFormat="1" applyFont="1" applyFill="1" applyAlignment="1"/>
    <xf numFmtId="41" fontId="1" fillId="0" borderId="4" xfId="5" applyNumberFormat="1" applyFont="1" applyFill="1" applyBorder="1" applyAlignment="1"/>
    <xf numFmtId="41" fontId="1" fillId="0" borderId="0" xfId="5" applyNumberFormat="1" applyFont="1" applyFill="1" applyBorder="1" applyAlignment="1"/>
    <xf numFmtId="37" fontId="17" fillId="7" borderId="0" xfId="4" applyNumberFormat="1" applyFont="1" applyFill="1" applyAlignment="1">
      <alignment horizontal="left"/>
    </xf>
    <xf numFmtId="0" fontId="13" fillId="7" borderId="0" xfId="4" applyFont="1" applyFill="1" applyAlignment="1">
      <alignment horizontal="left" vertical="center"/>
    </xf>
    <xf numFmtId="41" fontId="1" fillId="7" borderId="0" xfId="5" applyNumberFormat="1" applyFont="1" applyFill="1" applyAlignment="1">
      <alignment horizontal="left"/>
    </xf>
    <xf numFmtId="41" fontId="1" fillId="7" borderId="4" xfId="5" applyNumberFormat="1" applyFont="1" applyFill="1" applyBorder="1" applyAlignment="1">
      <alignment horizontal="left"/>
    </xf>
    <xf numFmtId="41" fontId="1" fillId="0" borderId="0" xfId="5" applyNumberFormat="1" applyFont="1" applyFill="1" applyBorder="1" applyAlignment="1">
      <alignment horizontal="left"/>
    </xf>
    <xf numFmtId="41" fontId="1" fillId="7" borderId="0" xfId="5" applyNumberFormat="1" applyFont="1" applyFill="1" applyAlignment="1"/>
    <xf numFmtId="0" fontId="18" fillId="0" borderId="0" xfId="4" applyFont="1"/>
    <xf numFmtId="0" fontId="15" fillId="2" borderId="0" xfId="4" applyFont="1" applyFill="1"/>
    <xf numFmtId="41" fontId="15" fillId="2" borderId="0" xfId="5" applyNumberFormat="1" applyFont="1" applyFill="1" applyBorder="1" applyAlignment="1">
      <alignment horizontal="center"/>
    </xf>
    <xf numFmtId="41" fontId="15" fillId="2" borderId="0" xfId="5" applyNumberFormat="1" applyFont="1" applyFill="1" applyBorder="1"/>
    <xf numFmtId="41" fontId="15" fillId="0" borderId="0" xfId="5" applyNumberFormat="1" applyFont="1" applyFill="1" applyBorder="1"/>
    <xf numFmtId="41" fontId="15" fillId="3" borderId="0" xfId="5" applyNumberFormat="1" applyFont="1" applyFill="1" applyBorder="1"/>
    <xf numFmtId="41" fontId="15" fillId="4" borderId="0" xfId="5" applyNumberFormat="1" applyFont="1" applyFill="1" applyBorder="1" applyAlignment="1">
      <alignment horizontal="right"/>
    </xf>
    <xf numFmtId="41" fontId="15" fillId="0" borderId="0" xfId="5" applyNumberFormat="1" applyFont="1" applyFill="1" applyBorder="1" applyAlignment="1">
      <alignment horizontal="right"/>
    </xf>
    <xf numFmtId="41" fontId="15" fillId="5" borderId="4" xfId="5" applyNumberFormat="1" applyFont="1" applyFill="1" applyBorder="1" applyAlignment="1">
      <alignment horizontal="right"/>
    </xf>
    <xf numFmtId="41" fontId="15" fillId="6" borderId="0" xfId="5" applyNumberFormat="1" applyFont="1" applyFill="1" applyBorder="1" applyAlignment="1">
      <alignment horizontal="right"/>
    </xf>
    <xf numFmtId="41" fontId="19" fillId="6" borderId="0" xfId="4" applyNumberFormat="1" applyFont="1" applyFill="1"/>
    <xf numFmtId="41" fontId="1" fillId="0" borderId="4" xfId="4" applyNumberFormat="1" applyBorder="1"/>
    <xf numFmtId="37" fontId="1" fillId="7" borderId="0" xfId="4" applyNumberFormat="1" applyFill="1" applyAlignment="1">
      <alignment horizontal="left"/>
    </xf>
    <xf numFmtId="166" fontId="15" fillId="2" borderId="0" xfId="4" applyNumberFormat="1" applyFont="1" applyFill="1"/>
    <xf numFmtId="41" fontId="19" fillId="8" borderId="0" xfId="4" applyNumberFormat="1" applyFont="1" applyFill="1"/>
    <xf numFmtId="41" fontId="20" fillId="0" borderId="0" xfId="5" applyNumberFormat="1" applyFont="1" applyFill="1" applyAlignment="1">
      <alignment horizontal="left"/>
    </xf>
    <xf numFmtId="41" fontId="10" fillId="0" borderId="0" xfId="5" applyNumberFormat="1" applyFont="1" applyFill="1" applyAlignment="1">
      <alignment horizontal="left"/>
    </xf>
    <xf numFmtId="0" fontId="21" fillId="0" borderId="0" xfId="4" applyFont="1" applyAlignment="1">
      <alignment horizontal="left" vertical="center"/>
    </xf>
    <xf numFmtId="0" fontId="23" fillId="7" borderId="0" xfId="6" applyFont="1" applyFill="1" applyAlignment="1">
      <alignment horizontal="left"/>
    </xf>
    <xf numFmtId="41" fontId="15" fillId="5" borderId="5" xfId="5" applyNumberFormat="1" applyFont="1" applyFill="1" applyBorder="1" applyAlignment="1">
      <alignment horizontal="right"/>
    </xf>
    <xf numFmtId="0" fontId="15" fillId="0" borderId="0" xfId="4" applyFont="1" applyAlignment="1">
      <alignment horizontal="left"/>
    </xf>
    <xf numFmtId="166" fontId="15" fillId="0" borderId="0" xfId="4" applyNumberFormat="1" applyFont="1" applyAlignment="1">
      <alignment horizontal="left"/>
    </xf>
    <xf numFmtId="41" fontId="15" fillId="0" borderId="0" xfId="5" applyNumberFormat="1" applyFont="1" applyFill="1" applyBorder="1" applyAlignment="1">
      <alignment horizontal="left"/>
    </xf>
    <xf numFmtId="41" fontId="19" fillId="0" borderId="0" xfId="4" applyNumberFormat="1" applyFont="1" applyAlignment="1">
      <alignment horizontal="left"/>
    </xf>
    <xf numFmtId="0" fontId="18" fillId="0" borderId="0" xfId="4" applyFont="1" applyAlignment="1">
      <alignment horizontal="left"/>
    </xf>
    <xf numFmtId="0" fontId="0" fillId="7" borderId="0" xfId="4" applyFont="1" applyFill="1" applyAlignment="1">
      <alignment horizontal="left"/>
    </xf>
    <xf numFmtId="0" fontId="1" fillId="7" borderId="0" xfId="4" applyFill="1" applyAlignment="1">
      <alignment horizontal="left"/>
    </xf>
    <xf numFmtId="41" fontId="24" fillId="7" borderId="0" xfId="4" applyNumberFormat="1" applyFont="1" applyFill="1" applyAlignment="1">
      <alignment horizontal="left"/>
    </xf>
    <xf numFmtId="0" fontId="1" fillId="0" borderId="0" xfId="4" applyAlignment="1">
      <alignment horizontal="left"/>
    </xf>
    <xf numFmtId="0" fontId="11" fillId="7" borderId="0" xfId="4" applyFont="1" applyFill="1" applyAlignment="1">
      <alignment horizontal="left"/>
    </xf>
    <xf numFmtId="41" fontId="11" fillId="7" borderId="0" xfId="4" applyNumberFormat="1" applyFont="1" applyFill="1" applyAlignment="1">
      <alignment horizontal="left"/>
    </xf>
    <xf numFmtId="41" fontId="24" fillId="7" borderId="0" xfId="5" applyNumberFormat="1" applyFont="1" applyFill="1" applyAlignment="1">
      <alignment horizontal="left"/>
    </xf>
    <xf numFmtId="41" fontId="25" fillId="7" borderId="0" xfId="5" applyNumberFormat="1" applyFont="1" applyFill="1" applyAlignment="1">
      <alignment horizontal="left"/>
    </xf>
    <xf numFmtId="41" fontId="25" fillId="7" borderId="0" xfId="4" applyNumberFormat="1" applyFont="1" applyFill="1" applyAlignment="1">
      <alignment horizontal="left"/>
    </xf>
    <xf numFmtId="41" fontId="1" fillId="7" borderId="0" xfId="4" applyNumberFormat="1" applyFill="1" applyAlignment="1">
      <alignment horizontal="left"/>
    </xf>
    <xf numFmtId="41" fontId="1" fillId="0" borderId="0" xfId="4" applyNumberFormat="1" applyAlignment="1">
      <alignment horizontal="left"/>
    </xf>
    <xf numFmtId="0" fontId="11" fillId="0" borderId="0" xfId="4" applyFont="1" applyAlignment="1">
      <alignment horizontal="left"/>
    </xf>
    <xf numFmtId="41" fontId="11" fillId="0" borderId="0" xfId="4" applyNumberFormat="1" applyFont="1" applyAlignment="1">
      <alignment horizontal="left"/>
    </xf>
    <xf numFmtId="0" fontId="15" fillId="2" borderId="6" xfId="4" applyFont="1" applyFill="1" applyBorder="1" applyAlignment="1">
      <alignment vertical="center"/>
    </xf>
    <xf numFmtId="0" fontId="15" fillId="2" borderId="7" xfId="4" applyFont="1" applyFill="1" applyBorder="1" applyAlignment="1">
      <alignment vertical="center"/>
    </xf>
    <xf numFmtId="0" fontId="15" fillId="2" borderId="8" xfId="4" applyFont="1" applyFill="1" applyBorder="1" applyAlignment="1">
      <alignment vertical="center"/>
    </xf>
    <xf numFmtId="0" fontId="11" fillId="0" borderId="9" xfId="4" applyFont="1" applyBorder="1"/>
    <xf numFmtId="0" fontId="1" fillId="0" borderId="10" xfId="4" applyBorder="1"/>
    <xf numFmtId="43" fontId="1" fillId="0" borderId="0" xfId="4" applyNumberFormat="1"/>
    <xf numFmtId="0" fontId="1" fillId="0" borderId="9" xfId="4" applyBorder="1"/>
    <xf numFmtId="165" fontId="19" fillId="0" borderId="12" xfId="7" applyFont="1" applyBorder="1">
      <alignment horizontal="right"/>
    </xf>
    <xf numFmtId="41" fontId="19" fillId="0" borderId="12" xfId="8" applyNumberFormat="1" applyFont="1" applyBorder="1">
      <alignment horizontal="right"/>
    </xf>
    <xf numFmtId="165" fontId="19" fillId="0" borderId="10" xfId="7" applyFont="1" applyBorder="1">
      <alignment horizontal="right"/>
    </xf>
    <xf numFmtId="10" fontId="19" fillId="0" borderId="12" xfId="7" applyNumberFormat="1" applyFont="1" applyBorder="1">
      <alignment horizontal="right"/>
    </xf>
    <xf numFmtId="165" fontId="19" fillId="0" borderId="13" xfId="7" applyFont="1" applyBorder="1">
      <alignment horizontal="right"/>
    </xf>
    <xf numFmtId="0" fontId="1" fillId="0" borderId="14" xfId="4" applyBorder="1"/>
    <xf numFmtId="0" fontId="1" fillId="0" borderId="15" xfId="4" applyBorder="1"/>
    <xf numFmtId="165" fontId="1" fillId="0" borderId="16" xfId="5" applyNumberFormat="1" applyFont="1" applyFill="1" applyBorder="1" applyAlignment="1">
      <alignment horizontal="right"/>
    </xf>
    <xf numFmtId="165" fontId="1" fillId="0" borderId="0" xfId="5" applyNumberFormat="1" applyFont="1" applyFill="1" applyAlignment="1">
      <alignment horizontal="center"/>
    </xf>
    <xf numFmtId="0" fontId="13" fillId="2" borderId="7" xfId="4" applyFont="1" applyFill="1" applyBorder="1" applyAlignment="1">
      <alignment vertical="center"/>
    </xf>
    <xf numFmtId="0" fontId="0" fillId="0" borderId="9" xfId="4" applyFont="1" applyBorder="1"/>
    <xf numFmtId="43" fontId="19" fillId="0" borderId="17" xfId="5" applyFont="1" applyBorder="1" applyAlignment="1">
      <alignment horizontal="right"/>
    </xf>
    <xf numFmtId="43" fontId="19" fillId="0" borderId="12" xfId="5" applyFont="1" applyBorder="1" applyAlignment="1">
      <alignment horizontal="right"/>
    </xf>
    <xf numFmtId="0" fontId="0" fillId="0" borderId="14" xfId="4" applyFont="1" applyBorder="1"/>
    <xf numFmtId="165" fontId="19" fillId="0" borderId="18" xfId="7" applyFont="1" applyBorder="1">
      <alignment horizontal="right"/>
    </xf>
    <xf numFmtId="43" fontId="19" fillId="0" borderId="19" xfId="5" applyFont="1" applyBorder="1" applyAlignment="1">
      <alignment horizontal="right"/>
    </xf>
    <xf numFmtId="165" fontId="19" fillId="0" borderId="0" xfId="7" applyFont="1" applyBorder="1">
      <alignment horizontal="right"/>
    </xf>
    <xf numFmtId="1" fontId="19" fillId="0" borderId="18" xfId="5" applyNumberFormat="1" applyFont="1" applyBorder="1" applyAlignment="1">
      <alignment horizontal="right"/>
    </xf>
    <xf numFmtId="37" fontId="13" fillId="0" borderId="0" xfId="4" applyNumberFormat="1" applyFont="1" applyAlignment="1">
      <alignment horizontal="center"/>
    </xf>
    <xf numFmtId="41" fontId="13" fillId="0" borderId="0" xfId="5" applyNumberFormat="1" applyFont="1" applyFill="1" applyAlignment="1">
      <alignment horizontal="left"/>
    </xf>
    <xf numFmtId="0" fontId="23" fillId="0" borderId="0" xfId="4" applyFont="1" applyAlignment="1">
      <alignment vertical="center"/>
    </xf>
    <xf numFmtId="0" fontId="27" fillId="0" borderId="0" xfId="4" applyFont="1" applyAlignment="1">
      <alignment horizontal="center"/>
    </xf>
    <xf numFmtId="0" fontId="9" fillId="2" borderId="0" xfId="4" applyFont="1" applyFill="1" applyAlignment="1">
      <alignment horizontal="center" vertical="center"/>
    </xf>
    <xf numFmtId="0" fontId="13" fillId="0" borderId="0" xfId="4" applyFont="1" applyAlignment="1">
      <alignment vertical="center"/>
    </xf>
    <xf numFmtId="0" fontId="1" fillId="0" borderId="0" xfId="4" applyAlignment="1">
      <alignment vertical="center"/>
    </xf>
    <xf numFmtId="0" fontId="9" fillId="4" borderId="0" xfId="4" applyFont="1" applyFill="1" applyAlignment="1">
      <alignment horizontal="center" vertical="center"/>
    </xf>
    <xf numFmtId="0" fontId="9" fillId="2" borderId="0" xfId="4" applyFont="1" applyFill="1" applyAlignment="1">
      <alignment horizontal="left" vertical="center"/>
    </xf>
    <xf numFmtId="168" fontId="9" fillId="2" borderId="0" xfId="4" applyNumberFormat="1" applyFont="1" applyFill="1" applyAlignment="1">
      <alignment horizontal="center" vertical="center"/>
    </xf>
    <xf numFmtId="0" fontId="28" fillId="4" borderId="0" xfId="4" applyFont="1" applyFill="1" applyAlignment="1">
      <alignment horizontal="center" vertical="center"/>
    </xf>
    <xf numFmtId="0" fontId="29" fillId="0" borderId="0" xfId="4" applyFont="1" applyAlignment="1">
      <alignment vertical="center"/>
    </xf>
    <xf numFmtId="169" fontId="0" fillId="0" borderId="0" xfId="5" applyNumberFormat="1" applyFont="1" applyAlignment="1">
      <alignment vertical="center"/>
    </xf>
    <xf numFmtId="37" fontId="17" fillId="0" borderId="0" xfId="4" applyNumberFormat="1" applyFont="1"/>
    <xf numFmtId="41" fontId="30" fillId="0" borderId="11" xfId="8" applyNumberFormat="1" applyFont="1">
      <alignment horizontal="right"/>
    </xf>
    <xf numFmtId="41" fontId="13" fillId="0" borderId="0" xfId="4" applyNumberFormat="1" applyFont="1" applyAlignment="1">
      <alignment vertical="center"/>
    </xf>
    <xf numFmtId="41" fontId="13" fillId="0" borderId="0" xfId="8" applyNumberFormat="1" applyFont="1" applyBorder="1">
      <alignment horizontal="right"/>
    </xf>
    <xf numFmtId="41" fontId="0" fillId="0" borderId="0" xfId="5" applyNumberFormat="1" applyFont="1" applyAlignment="1">
      <alignment vertical="center"/>
    </xf>
    <xf numFmtId="0" fontId="13" fillId="0" borderId="1" xfId="5" applyNumberFormat="1" applyFont="1" applyFill="1" applyBorder="1" applyAlignment="1">
      <alignment horizontal="left" vertical="center" indent="1"/>
    </xf>
    <xf numFmtId="41" fontId="30" fillId="0" borderId="20" xfId="8" applyNumberFormat="1" applyFont="1" applyBorder="1">
      <alignment horizontal="right"/>
    </xf>
    <xf numFmtId="41" fontId="13" fillId="0" borderId="1" xfId="4" applyNumberFormat="1" applyFont="1" applyBorder="1" applyAlignment="1">
      <alignment vertical="center"/>
    </xf>
    <xf numFmtId="41" fontId="13" fillId="0" borderId="1" xfId="8" applyNumberFormat="1" applyFont="1" applyBorder="1">
      <alignment horizontal="right"/>
    </xf>
    <xf numFmtId="41" fontId="0" fillId="0" borderId="1" xfId="5" applyNumberFormat="1" applyFont="1" applyBorder="1" applyAlignment="1">
      <alignment vertical="center"/>
    </xf>
    <xf numFmtId="0" fontId="15" fillId="0" borderId="0" xfId="5" applyNumberFormat="1" applyFont="1" applyFill="1" applyBorder="1" applyAlignment="1">
      <alignment vertical="center"/>
    </xf>
    <xf numFmtId="0" fontId="0" fillId="0" borderId="0" xfId="5" applyNumberFormat="1" applyFont="1" applyFill="1" applyBorder="1" applyAlignment="1">
      <alignment vertical="center"/>
    </xf>
    <xf numFmtId="41" fontId="1" fillId="0" borderId="0" xfId="4" applyNumberFormat="1" applyAlignment="1">
      <alignment vertical="center"/>
    </xf>
    <xf numFmtId="0" fontId="15" fillId="9" borderId="21" xfId="5" applyNumberFormat="1" applyFont="1" applyFill="1" applyBorder="1" applyAlignment="1">
      <alignment vertical="center"/>
    </xf>
    <xf numFmtId="41" fontId="15" fillId="9" borderId="22" xfId="8" applyNumberFormat="1" applyFont="1" applyFill="1" applyBorder="1">
      <alignment horizontal="right"/>
    </xf>
    <xf numFmtId="41" fontId="15" fillId="9" borderId="23" xfId="8" applyNumberFormat="1" applyFont="1" applyFill="1" applyBorder="1">
      <alignment horizontal="right"/>
    </xf>
    <xf numFmtId="41" fontId="0" fillId="0" borderId="0" xfId="5" applyNumberFormat="1" applyFont="1" applyBorder="1" applyAlignment="1">
      <alignment vertical="center"/>
    </xf>
    <xf numFmtId="41" fontId="0" fillId="0" borderId="1" xfId="5" applyNumberFormat="1" applyFont="1" applyFill="1" applyBorder="1" applyAlignment="1">
      <alignment vertical="center"/>
    </xf>
    <xf numFmtId="0" fontId="15" fillId="9" borderId="6" xfId="5" applyNumberFormat="1" applyFont="1" applyFill="1" applyBorder="1" applyAlignment="1">
      <alignment vertical="center"/>
    </xf>
    <xf numFmtId="41" fontId="15" fillId="9" borderId="7" xfId="8" applyNumberFormat="1" applyFont="1" applyFill="1" applyBorder="1">
      <alignment horizontal="right"/>
    </xf>
    <xf numFmtId="41" fontId="15" fillId="9" borderId="8" xfId="8" applyNumberFormat="1" applyFont="1" applyFill="1" applyBorder="1">
      <alignment horizontal="right"/>
    </xf>
    <xf numFmtId="0" fontId="15" fillId="9" borderId="14" xfId="5" applyNumberFormat="1" applyFont="1" applyFill="1" applyBorder="1" applyAlignment="1">
      <alignment vertical="center"/>
    </xf>
    <xf numFmtId="41" fontId="15" fillId="9" borderId="15" xfId="8" applyNumberFormat="1" applyFont="1" applyFill="1" applyBorder="1">
      <alignment horizontal="right"/>
    </xf>
    <xf numFmtId="41" fontId="15" fillId="9" borderId="16" xfId="8" applyNumberFormat="1" applyFont="1" applyFill="1" applyBorder="1">
      <alignment horizontal="right"/>
    </xf>
    <xf numFmtId="41" fontId="15" fillId="0" borderId="0" xfId="8" applyNumberFormat="1" applyFont="1" applyBorder="1">
      <alignment horizontal="right"/>
    </xf>
    <xf numFmtId="170" fontId="1" fillId="0" borderId="0" xfId="4" applyNumberFormat="1"/>
    <xf numFmtId="0" fontId="15" fillId="0" borderId="2" xfId="5" applyNumberFormat="1" applyFont="1" applyFill="1" applyBorder="1" applyAlignment="1">
      <alignment vertical="center"/>
    </xf>
    <xf numFmtId="41" fontId="13" fillId="0" borderId="2" xfId="8" applyNumberFormat="1" applyFont="1" applyBorder="1">
      <alignment horizontal="right"/>
    </xf>
    <xf numFmtId="41" fontId="13" fillId="0" borderId="2" xfId="4" applyNumberFormat="1" applyFont="1" applyBorder="1" applyAlignment="1">
      <alignment vertical="center"/>
    </xf>
    <xf numFmtId="41" fontId="0" fillId="0" borderId="2" xfId="5" applyNumberFormat="1" applyFont="1" applyBorder="1" applyAlignment="1">
      <alignment vertical="center"/>
    </xf>
    <xf numFmtId="0" fontId="13" fillId="0" borderId="1" xfId="5" applyNumberFormat="1" applyFont="1" applyFill="1" applyBorder="1" applyAlignment="1">
      <alignment horizontal="left" vertical="center" wrapText="1" indent="1"/>
    </xf>
    <xf numFmtId="41" fontId="30" fillId="0" borderId="24" xfId="8" applyNumberFormat="1" applyFont="1" applyBorder="1">
      <alignment horizontal="right"/>
    </xf>
    <xf numFmtId="41" fontId="30" fillId="0" borderId="0" xfId="8" applyNumberFormat="1" applyFont="1" applyBorder="1">
      <alignment horizontal="right"/>
    </xf>
    <xf numFmtId="0" fontId="11" fillId="9" borderId="6" xfId="5" applyNumberFormat="1" applyFont="1" applyFill="1" applyBorder="1" applyAlignment="1">
      <alignment vertical="center"/>
    </xf>
    <xf numFmtId="0" fontId="11" fillId="9" borderId="14" xfId="5" applyNumberFormat="1" applyFont="1" applyFill="1" applyBorder="1" applyAlignment="1">
      <alignment vertical="center"/>
    </xf>
    <xf numFmtId="171" fontId="32" fillId="9" borderId="15" xfId="10" applyNumberFormat="1" applyFont="1" applyFill="1" applyBorder="1" applyAlignment="1">
      <alignment horizontal="right"/>
    </xf>
    <xf numFmtId="171" fontId="32" fillId="9" borderId="16" xfId="10" applyNumberFormat="1" applyFont="1" applyFill="1" applyBorder="1" applyAlignment="1">
      <alignment horizontal="right"/>
    </xf>
    <xf numFmtId="4" fontId="1" fillId="0" borderId="0" xfId="4" applyNumberFormat="1" applyAlignment="1">
      <alignment vertical="center"/>
    </xf>
    <xf numFmtId="43" fontId="1" fillId="0" borderId="0" xfId="4" applyNumberFormat="1" applyAlignment="1">
      <alignment vertical="center"/>
    </xf>
    <xf numFmtId="0" fontId="13" fillId="0" borderId="0" xfId="5" applyNumberFormat="1" applyFont="1" applyFill="1" applyBorder="1" applyAlignment="1">
      <alignment horizontal="left" vertical="center"/>
    </xf>
    <xf numFmtId="0" fontId="0" fillId="0" borderId="1" xfId="5" applyNumberFormat="1" applyFont="1" applyFill="1" applyBorder="1" applyAlignment="1">
      <alignment vertical="center"/>
    </xf>
    <xf numFmtId="41" fontId="11" fillId="0" borderId="0" xfId="4" applyNumberFormat="1" applyFont="1" applyAlignment="1">
      <alignment vertical="center"/>
    </xf>
    <xf numFmtId="37" fontId="1" fillId="0" borderId="0" xfId="4" applyNumberFormat="1"/>
    <xf numFmtId="0" fontId="1" fillId="7" borderId="0" xfId="4" applyFill="1" applyAlignment="1">
      <alignment vertical="center"/>
    </xf>
    <xf numFmtId="41" fontId="1" fillId="7" borderId="0" xfId="4" applyNumberFormat="1" applyFill="1" applyAlignment="1">
      <alignment vertical="center"/>
    </xf>
    <xf numFmtId="167" fontId="1" fillId="0" borderId="0" xfId="4" applyNumberFormat="1" applyAlignment="1">
      <alignment vertical="center"/>
    </xf>
    <xf numFmtId="0" fontId="33" fillId="0" borderId="0" xfId="0" applyFont="1"/>
    <xf numFmtId="0" fontId="35" fillId="0" borderId="0" xfId="0" applyFont="1"/>
    <xf numFmtId="168" fontId="9" fillId="2" borderId="0" xfId="4" quotePrefix="1" applyNumberFormat="1" applyFont="1" applyFill="1" applyAlignment="1">
      <alignment horizontal="center" vertical="center"/>
    </xf>
    <xf numFmtId="17" fontId="9" fillId="2" borderId="0" xfId="4" applyNumberFormat="1" applyFont="1" applyFill="1" applyAlignment="1">
      <alignment horizontal="center" vertical="center"/>
    </xf>
    <xf numFmtId="0" fontId="3" fillId="0" borderId="0" xfId="0" applyFont="1" applyAlignment="1">
      <alignment horizontal="left" wrapText="1" indent="3"/>
    </xf>
    <xf numFmtId="0" fontId="5" fillId="0" borderId="0" xfId="0" applyFont="1" applyAlignment="1">
      <alignment horizontal="left" wrapText="1" indent="2"/>
    </xf>
    <xf numFmtId="0" fontId="3" fillId="0" borderId="0" xfId="0" applyFont="1" applyAlignment="1">
      <alignment horizontal="left" wrapText="1" indent="4"/>
    </xf>
    <xf numFmtId="0" fontId="5" fillId="0" borderId="0" xfId="0" applyFont="1" applyAlignment="1">
      <alignment horizontal="left" wrapText="1" indent="3"/>
    </xf>
    <xf numFmtId="0" fontId="5" fillId="0" borderId="2" xfId="0" applyFont="1" applyBorder="1" applyAlignment="1">
      <alignment horizontal="left" wrapText="1"/>
    </xf>
    <xf numFmtId="0" fontId="40" fillId="8" borderId="25" xfId="4" applyFont="1" applyFill="1" applyBorder="1" applyAlignment="1">
      <alignment horizontal="center" wrapText="1"/>
    </xf>
    <xf numFmtId="172" fontId="40" fillId="8" borderId="25" xfId="4" applyNumberFormat="1" applyFont="1" applyFill="1" applyBorder="1" applyAlignment="1">
      <alignment horizontal="center" wrapText="1"/>
    </xf>
    <xf numFmtId="174" fontId="40" fillId="8" borderId="25" xfId="4" applyNumberFormat="1" applyFont="1" applyFill="1" applyBorder="1" applyAlignment="1">
      <alignment horizontal="center"/>
    </xf>
    <xf numFmtId="164" fontId="40" fillId="8" borderId="25" xfId="4" applyNumberFormat="1" applyFont="1" applyFill="1" applyBorder="1" applyAlignment="1">
      <alignment horizontal="center" vertical="center"/>
    </xf>
    <xf numFmtId="164" fontId="40" fillId="8" borderId="25" xfId="4" applyNumberFormat="1" applyFont="1" applyFill="1" applyBorder="1" applyAlignment="1">
      <alignment horizontal="center" vertical="center" wrapText="1"/>
    </xf>
    <xf numFmtId="44" fontId="40" fillId="8" borderId="25" xfId="14" applyFont="1" applyFill="1" applyBorder="1" applyAlignment="1">
      <alignment horizontal="center" wrapText="1"/>
    </xf>
    <xf numFmtId="0" fontId="41" fillId="8" borderId="25" xfId="4" applyFont="1" applyFill="1" applyBorder="1" applyAlignment="1">
      <alignment horizontal="center" vertical="center" wrapText="1"/>
    </xf>
    <xf numFmtId="172" fontId="41" fillId="8" borderId="25" xfId="4" applyNumberFormat="1" applyFont="1" applyFill="1" applyBorder="1" applyAlignment="1">
      <alignment horizontal="center" vertical="center" wrapText="1"/>
    </xf>
    <xf numFmtId="174" fontId="41" fillId="10" borderId="25" xfId="4" applyNumberFormat="1" applyFont="1" applyFill="1" applyBorder="1" applyAlignment="1">
      <alignment horizontal="center" vertical="center"/>
    </xf>
    <xf numFmtId="164" fontId="41" fillId="10" borderId="25" xfId="4" applyNumberFormat="1" applyFont="1" applyFill="1" applyBorder="1" applyAlignment="1">
      <alignment horizontal="center" vertical="center"/>
    </xf>
    <xf numFmtId="0" fontId="41" fillId="8" borderId="25" xfId="4" applyFont="1" applyFill="1" applyBorder="1" applyAlignment="1" applyProtection="1">
      <alignment horizontal="center" vertical="center" wrapText="1"/>
      <protection locked="0"/>
    </xf>
    <xf numFmtId="174" fontId="41" fillId="8" borderId="25" xfId="4" applyNumberFormat="1" applyFont="1" applyFill="1" applyBorder="1" applyAlignment="1">
      <alignment horizontal="center" vertical="center"/>
    </xf>
    <xf numFmtId="6" fontId="41" fillId="8" borderId="25" xfId="4" applyNumberFormat="1" applyFont="1" applyFill="1" applyBorder="1" applyAlignment="1">
      <alignment horizontal="center" vertical="center" wrapText="1"/>
    </xf>
    <xf numFmtId="164" fontId="41" fillId="8" borderId="25" xfId="4" applyNumberFormat="1" applyFont="1" applyFill="1" applyBorder="1" applyAlignment="1" applyProtection="1">
      <alignment horizontal="center" vertical="center"/>
      <protection locked="0"/>
    </xf>
    <xf numFmtId="14" fontId="41" fillId="8" borderId="25" xfId="4" applyNumberFormat="1" applyFont="1" applyFill="1" applyBorder="1" applyAlignment="1" applyProtection="1">
      <alignment horizontal="center" vertical="center" wrapText="1"/>
      <protection locked="0"/>
    </xf>
    <xf numFmtId="174" fontId="41" fillId="8" borderId="25" xfId="4" applyNumberFormat="1" applyFont="1" applyFill="1" applyBorder="1" applyAlignment="1" applyProtection="1">
      <alignment horizontal="center" vertical="center"/>
      <protection locked="0"/>
    </xf>
    <xf numFmtId="0" fontId="41" fillId="11" borderId="25" xfId="4" applyFont="1" applyFill="1" applyBorder="1" applyAlignment="1" applyProtection="1">
      <alignment horizontal="center" vertical="center" wrapText="1"/>
      <protection locked="0"/>
    </xf>
    <xf numFmtId="172" fontId="41" fillId="11" borderId="25" xfId="4" applyNumberFormat="1" applyFont="1" applyFill="1" applyBorder="1" applyAlignment="1">
      <alignment horizontal="center" vertical="center" wrapText="1"/>
    </xf>
    <xf numFmtId="14" fontId="41" fillId="11" borderId="25" xfId="4" applyNumberFormat="1" applyFont="1" applyFill="1" applyBorder="1" applyAlignment="1" applyProtection="1">
      <alignment horizontal="center" vertical="center" wrapText="1"/>
      <protection locked="0"/>
    </xf>
    <xf numFmtId="174" fontId="41" fillId="11" borderId="25" xfId="4" applyNumberFormat="1" applyFont="1" applyFill="1" applyBorder="1" applyAlignment="1" applyProtection="1">
      <alignment horizontal="center" vertical="center"/>
      <protection locked="0"/>
    </xf>
    <xf numFmtId="164" fontId="41" fillId="11" borderId="25" xfId="4" applyNumberFormat="1" applyFont="1" applyFill="1" applyBorder="1" applyAlignment="1" applyProtection="1">
      <alignment horizontal="center" vertical="center"/>
      <protection locked="0"/>
    </xf>
    <xf numFmtId="44" fontId="41" fillId="11" borderId="25" xfId="14" applyFont="1" applyFill="1" applyBorder="1" applyAlignment="1" applyProtection="1">
      <alignment horizontal="left" vertical="center" wrapText="1"/>
      <protection locked="0"/>
    </xf>
    <xf numFmtId="164" fontId="41" fillId="8" borderId="25" xfId="4" applyNumberFormat="1" applyFont="1" applyFill="1" applyBorder="1" applyAlignment="1">
      <alignment horizontal="center" vertical="center"/>
    </xf>
    <xf numFmtId="44" fontId="41" fillId="8" borderId="26" xfId="14" applyFont="1" applyFill="1" applyBorder="1" applyAlignment="1">
      <alignment vertical="center" wrapText="1"/>
    </xf>
    <xf numFmtId="44" fontId="41" fillId="8" borderId="27" xfId="14" applyFont="1" applyFill="1" applyBorder="1" applyAlignment="1">
      <alignment vertical="center" wrapText="1"/>
    </xf>
    <xf numFmtId="44" fontId="41" fillId="8" borderId="28" xfId="14" applyFont="1" applyFill="1" applyBorder="1" applyAlignment="1">
      <alignment vertical="center" wrapText="1"/>
    </xf>
    <xf numFmtId="44" fontId="41" fillId="8" borderId="29" xfId="14" applyFont="1" applyFill="1" applyBorder="1" applyAlignment="1">
      <alignment vertical="center" wrapText="1"/>
    </xf>
    <xf numFmtId="0" fontId="41" fillId="8" borderId="25" xfId="4" applyFont="1" applyFill="1" applyBorder="1" applyAlignment="1">
      <alignment horizontal="center" vertical="center"/>
    </xf>
    <xf numFmtId="6" fontId="41" fillId="8" borderId="25" xfId="4" applyNumberFormat="1" applyFont="1" applyFill="1" applyBorder="1" applyAlignment="1">
      <alignment horizontal="center" vertical="center"/>
    </xf>
    <xf numFmtId="44" fontId="41" fillId="8" borderId="33" xfId="14" applyFont="1" applyFill="1" applyBorder="1" applyAlignment="1">
      <alignment vertical="center" wrapText="1"/>
    </xf>
    <xf numFmtId="44" fontId="41" fillId="8" borderId="34" xfId="14" applyFont="1" applyFill="1" applyBorder="1" applyAlignment="1">
      <alignment vertical="center" wrapText="1"/>
    </xf>
    <xf numFmtId="0" fontId="41" fillId="12" borderId="25" xfId="4" applyFont="1" applyFill="1" applyBorder="1" applyAlignment="1">
      <alignment horizontal="center" vertical="center" wrapText="1"/>
    </xf>
    <xf numFmtId="172" fontId="41" fillId="12" borderId="25" xfId="4" applyNumberFormat="1" applyFont="1" applyFill="1" applyBorder="1" applyAlignment="1">
      <alignment horizontal="center" vertical="center" wrapText="1"/>
    </xf>
    <xf numFmtId="174" fontId="41" fillId="12" borderId="25" xfId="4" applyNumberFormat="1" applyFont="1" applyFill="1" applyBorder="1" applyAlignment="1">
      <alignment horizontal="center" vertical="center"/>
    </xf>
    <xf numFmtId="164" fontId="41" fillId="12" borderId="25" xfId="4" applyNumberFormat="1" applyFont="1" applyFill="1" applyBorder="1" applyAlignment="1">
      <alignment horizontal="center" vertical="center"/>
    </xf>
    <xf numFmtId="44" fontId="41" fillId="12" borderId="25" xfId="14" applyFont="1" applyFill="1" applyBorder="1" applyAlignment="1">
      <alignment horizontal="left" vertical="center" wrapText="1"/>
    </xf>
    <xf numFmtId="174" fontId="41" fillId="10" borderId="25" xfId="4" applyNumberFormat="1" applyFont="1" applyFill="1" applyBorder="1" applyAlignment="1" applyProtection="1">
      <alignment horizontal="center" vertical="center"/>
      <protection locked="0"/>
    </xf>
    <xf numFmtId="164" fontId="41" fillId="10" borderId="25" xfId="4" applyNumberFormat="1" applyFont="1" applyFill="1" applyBorder="1" applyAlignment="1" applyProtection="1">
      <alignment horizontal="center" vertical="center"/>
      <protection locked="0"/>
    </xf>
    <xf numFmtId="0" fontId="42" fillId="8" borderId="25" xfId="4" applyFont="1" applyFill="1" applyBorder="1" applyAlignment="1">
      <alignment horizontal="center" vertical="center"/>
    </xf>
    <xf numFmtId="164" fontId="41" fillId="8" borderId="25" xfId="4" applyNumberFormat="1" applyFont="1" applyFill="1" applyBorder="1" applyAlignment="1">
      <alignment horizontal="center" vertical="center" wrapText="1"/>
    </xf>
    <xf numFmtId="164" fontId="41" fillId="8" borderId="30" xfId="4" applyNumberFormat="1" applyFont="1" applyFill="1" applyBorder="1" applyAlignment="1">
      <alignment horizontal="center" vertical="center"/>
    </xf>
    <xf numFmtId="164" fontId="41" fillId="8" borderId="31" xfId="4" applyNumberFormat="1" applyFont="1" applyFill="1" applyBorder="1" applyAlignment="1">
      <alignment horizontal="center" vertical="center"/>
    </xf>
    <xf numFmtId="164" fontId="41" fillId="8" borderId="32" xfId="4" applyNumberFormat="1" applyFont="1" applyFill="1" applyBorder="1" applyAlignment="1">
      <alignment horizontal="center" vertical="center"/>
    </xf>
    <xf numFmtId="44" fontId="41" fillId="12" borderId="25" xfId="14" applyFont="1" applyFill="1" applyBorder="1" applyAlignment="1">
      <alignment vertical="center" wrapText="1"/>
    </xf>
    <xf numFmtId="0" fontId="41" fillId="0" borderId="25" xfId="4" applyFont="1" applyBorder="1" applyAlignment="1">
      <alignment horizontal="center" vertical="center" wrapText="1"/>
    </xf>
    <xf numFmtId="172" fontId="41" fillId="0" borderId="25" xfId="4" applyNumberFormat="1" applyFont="1" applyBorder="1" applyAlignment="1">
      <alignment horizontal="center" vertical="center" wrapText="1"/>
    </xf>
    <xf numFmtId="164" fontId="41" fillId="0" borderId="25" xfId="4" applyNumberFormat="1" applyFont="1" applyBorder="1" applyAlignment="1">
      <alignment horizontal="center" vertical="center"/>
    </xf>
    <xf numFmtId="164" fontId="41" fillId="0" borderId="25" xfId="4" applyNumberFormat="1" applyFont="1" applyBorder="1" applyAlignment="1" applyProtection="1">
      <alignment horizontal="center" vertical="center"/>
      <protection locked="0"/>
    </xf>
    <xf numFmtId="6" fontId="41" fillId="12" borderId="25" xfId="4" applyNumberFormat="1" applyFont="1" applyFill="1" applyBorder="1" applyAlignment="1">
      <alignment horizontal="center" vertical="center" wrapText="1"/>
    </xf>
    <xf numFmtId="175" fontId="41" fillId="8" borderId="25" xfId="14" applyNumberFormat="1" applyFont="1" applyFill="1" applyBorder="1" applyAlignment="1">
      <alignment horizontal="center" vertical="center"/>
    </xf>
    <xf numFmtId="175" fontId="41" fillId="10" borderId="25" xfId="14" applyNumberFormat="1" applyFont="1" applyFill="1" applyBorder="1" applyAlignment="1">
      <alignment horizontal="center" vertical="center"/>
    </xf>
    <xf numFmtId="44" fontId="41" fillId="8" borderId="33" xfId="14" applyFont="1" applyFill="1" applyBorder="1" applyAlignment="1">
      <alignment horizontal="center" vertical="center" wrapText="1"/>
    </xf>
    <xf numFmtId="44" fontId="41" fillId="8" borderId="34" xfId="14" applyFont="1" applyFill="1" applyBorder="1" applyAlignment="1">
      <alignment horizontal="center" vertical="center" wrapText="1"/>
    </xf>
    <xf numFmtId="0" fontId="41" fillId="11" borderId="25" xfId="4" applyFont="1" applyFill="1" applyBorder="1" applyAlignment="1">
      <alignment horizontal="center" vertical="center" wrapText="1"/>
    </xf>
    <xf numFmtId="164" fontId="41" fillId="11" borderId="25" xfId="4" applyNumberFormat="1" applyFont="1" applyFill="1" applyBorder="1" applyAlignment="1">
      <alignment horizontal="center" vertical="center"/>
    </xf>
    <xf numFmtId="44" fontId="41" fillId="11" borderId="25" xfId="14" applyFont="1" applyFill="1" applyBorder="1" applyAlignment="1">
      <alignment horizontal="left" vertical="center" wrapText="1"/>
    </xf>
    <xf numFmtId="164" fontId="41" fillId="8" borderId="30" xfId="4" applyNumberFormat="1" applyFont="1" applyFill="1" applyBorder="1" applyAlignment="1" applyProtection="1">
      <alignment vertical="center"/>
      <protection locked="0"/>
    </xf>
    <xf numFmtId="164" fontId="41" fillId="8" borderId="31" xfId="4" applyNumberFormat="1" applyFont="1" applyFill="1" applyBorder="1" applyAlignment="1" applyProtection="1">
      <alignment vertical="center"/>
      <protection locked="0"/>
    </xf>
    <xf numFmtId="164" fontId="41" fillId="8" borderId="32" xfId="4" applyNumberFormat="1" applyFont="1" applyFill="1" applyBorder="1" applyAlignment="1" applyProtection="1">
      <alignment vertical="center"/>
      <protection locked="0"/>
    </xf>
    <xf numFmtId="174" fontId="41" fillId="8" borderId="25" xfId="4" applyNumberFormat="1" applyFont="1" applyFill="1" applyBorder="1" applyAlignment="1">
      <alignment horizontal="center" vertical="center" wrapText="1"/>
    </xf>
    <xf numFmtId="174" fontId="41" fillId="8" borderId="25" xfId="13" applyNumberFormat="1" applyFont="1" applyFill="1" applyBorder="1" applyAlignment="1">
      <alignment horizontal="center" vertical="center"/>
    </xf>
    <xf numFmtId="164" fontId="41" fillId="8" borderId="25" xfId="13" applyNumberFormat="1" applyFont="1" applyFill="1" applyBorder="1" applyAlignment="1">
      <alignment horizontal="center" vertical="center"/>
    </xf>
    <xf numFmtId="164" fontId="41" fillId="11" borderId="25" xfId="13" applyNumberFormat="1" applyFont="1" applyFill="1" applyBorder="1" applyAlignment="1">
      <alignment horizontal="center" vertical="center"/>
    </xf>
    <xf numFmtId="164" fontId="41" fillId="8" borderId="25" xfId="14" applyNumberFormat="1" applyFont="1" applyFill="1" applyBorder="1" applyAlignment="1">
      <alignment horizontal="center" vertical="center"/>
    </xf>
    <xf numFmtId="174" fontId="41" fillId="11" borderId="25" xfId="4" applyNumberFormat="1" applyFont="1" applyFill="1" applyBorder="1" applyAlignment="1">
      <alignment horizontal="center" vertical="center"/>
    </xf>
    <xf numFmtId="44" fontId="41" fillId="8" borderId="26" xfId="14" applyFont="1" applyFill="1" applyBorder="1" applyAlignment="1">
      <alignment horizontal="left" vertical="center" wrapText="1"/>
    </xf>
    <xf numFmtId="44" fontId="41" fillId="8" borderId="27" xfId="14" applyFont="1" applyFill="1" applyBorder="1" applyAlignment="1">
      <alignment horizontal="left" vertical="center" wrapText="1"/>
    </xf>
    <xf numFmtId="0" fontId="41" fillId="13" borderId="25" xfId="4" applyFont="1" applyFill="1" applyBorder="1" applyAlignment="1">
      <alignment horizontal="center" vertical="center" wrapText="1"/>
    </xf>
    <xf numFmtId="172" fontId="41" fillId="13" borderId="25" xfId="4" applyNumberFormat="1" applyFont="1" applyFill="1" applyBorder="1" applyAlignment="1">
      <alignment horizontal="center" vertical="center" wrapText="1"/>
    </xf>
    <xf numFmtId="174" fontId="41" fillId="13" borderId="25" xfId="4" applyNumberFormat="1" applyFont="1" applyFill="1" applyBorder="1" applyAlignment="1">
      <alignment horizontal="center" vertical="center"/>
    </xf>
    <xf numFmtId="164" fontId="41" fillId="13" borderId="25" xfId="4" applyNumberFormat="1" applyFont="1" applyFill="1" applyBorder="1" applyAlignment="1">
      <alignment horizontal="center" vertical="center"/>
    </xf>
    <xf numFmtId="44" fontId="41" fillId="13" borderId="25" xfId="14" applyFont="1" applyFill="1" applyBorder="1" applyAlignment="1">
      <alignment horizontal="left" vertical="center" wrapText="1"/>
    </xf>
    <xf numFmtId="173" fontId="41" fillId="8" borderId="25" xfId="4" applyNumberFormat="1" applyFont="1" applyFill="1" applyBorder="1" applyAlignment="1">
      <alignment horizontal="center" vertical="center" wrapText="1"/>
    </xf>
    <xf numFmtId="173" fontId="41" fillId="11" borderId="25" xfId="4" applyNumberFormat="1" applyFont="1" applyFill="1" applyBorder="1" applyAlignment="1">
      <alignment horizontal="center" vertical="center" wrapText="1"/>
    </xf>
    <xf numFmtId="0" fontId="43" fillId="8" borderId="25" xfId="13" applyFont="1" applyFill="1" applyBorder="1" applyAlignment="1">
      <alignment horizontal="center" vertical="center" wrapText="1"/>
    </xf>
    <xf numFmtId="0" fontId="43" fillId="8" borderId="25" xfId="13" applyFont="1" applyFill="1" applyBorder="1" applyAlignment="1">
      <alignment horizontal="center" vertical="center"/>
    </xf>
    <xf numFmtId="175" fontId="41" fillId="11" borderId="25" xfId="14" applyNumberFormat="1" applyFont="1" applyFill="1" applyBorder="1" applyAlignment="1">
      <alignment horizontal="center" vertical="center"/>
    </xf>
    <xf numFmtId="0" fontId="41" fillId="8" borderId="25" xfId="4" applyFont="1" applyFill="1" applyBorder="1" applyAlignment="1">
      <alignment horizontal="left" vertical="center" wrapText="1"/>
    </xf>
    <xf numFmtId="0" fontId="41" fillId="8" borderId="25" xfId="4" applyFont="1" applyFill="1" applyBorder="1"/>
    <xf numFmtId="44" fontId="41" fillId="11" borderId="25" xfId="14" applyFont="1" applyFill="1" applyBorder="1" applyAlignment="1">
      <alignment vertical="center" wrapText="1"/>
    </xf>
    <xf numFmtId="174" fontId="41" fillId="0" borderId="25" xfId="4" applyNumberFormat="1" applyFont="1" applyBorder="1" applyAlignment="1">
      <alignment horizontal="center" vertical="center"/>
    </xf>
    <xf numFmtId="164" fontId="41" fillId="0" borderId="25" xfId="4" applyNumberFormat="1" applyFont="1" applyBorder="1" applyAlignment="1">
      <alignment horizontal="center" vertical="center" wrapText="1"/>
    </xf>
    <xf numFmtId="0" fontId="41" fillId="0" borderId="25" xfId="4" applyFont="1" applyBorder="1" applyAlignment="1" applyProtection="1">
      <alignment horizontal="center" vertical="center" wrapText="1"/>
      <protection locked="0"/>
    </xf>
    <xf numFmtId="14" fontId="41" fillId="0" borderId="25" xfId="4" applyNumberFormat="1" applyFont="1" applyBorder="1" applyAlignment="1" applyProtection="1">
      <alignment horizontal="center" vertical="center" wrapText="1"/>
      <protection locked="0"/>
    </xf>
    <xf numFmtId="174" fontId="41" fillId="0" borderId="25" xfId="4" applyNumberFormat="1" applyFont="1" applyBorder="1" applyAlignment="1" applyProtection="1">
      <alignment horizontal="center" vertical="center"/>
      <protection locked="0"/>
    </xf>
    <xf numFmtId="0" fontId="41" fillId="11" borderId="30" xfId="4" applyFont="1" applyFill="1" applyBorder="1" applyAlignment="1" applyProtection="1">
      <alignment horizontal="center" vertical="center" wrapText="1"/>
      <protection locked="0"/>
    </xf>
    <xf numFmtId="172" fontId="41" fillId="11" borderId="30" xfId="4" applyNumberFormat="1" applyFont="1" applyFill="1" applyBorder="1" applyAlignment="1">
      <alignment horizontal="center" vertical="center" wrapText="1"/>
    </xf>
    <xf numFmtId="44" fontId="41" fillId="11" borderId="25" xfId="14" applyFont="1" applyFill="1" applyBorder="1" applyAlignment="1">
      <alignment horizontal="left" vertical="center"/>
    </xf>
    <xf numFmtId="0" fontId="41" fillId="0" borderId="0" xfId="4" applyFont="1" applyAlignment="1">
      <alignment wrapText="1"/>
    </xf>
    <xf numFmtId="172" fontId="41" fillId="0" borderId="0" xfId="4" applyNumberFormat="1" applyFont="1" applyAlignment="1">
      <alignment wrapText="1"/>
    </xf>
    <xf numFmtId="0" fontId="41" fillId="0" borderId="0" xfId="4" applyFont="1" applyAlignment="1">
      <alignment horizontal="center" vertical="center" wrapText="1"/>
    </xf>
    <xf numFmtId="44" fontId="41" fillId="0" borderId="25" xfId="14" applyFont="1" applyBorder="1" applyAlignment="1">
      <alignment vertical="center" wrapText="1"/>
    </xf>
    <xf numFmtId="0" fontId="41" fillId="0" borderId="0" xfId="4" applyFont="1" applyAlignment="1">
      <alignment horizontal="right" wrapText="1"/>
    </xf>
    <xf numFmtId="174" fontId="41" fillId="0" borderId="0" xfId="4" applyNumberFormat="1" applyFont="1" applyAlignment="1">
      <alignment horizontal="center" vertical="center"/>
    </xf>
    <xf numFmtId="164" fontId="41" fillId="0" borderId="0" xfId="4" applyNumberFormat="1" applyFont="1" applyAlignment="1">
      <alignment horizontal="center" vertical="center"/>
    </xf>
    <xf numFmtId="0" fontId="40" fillId="0" borderId="25" xfId="4" applyFont="1" applyBorder="1" applyAlignment="1">
      <alignment horizontal="right" wrapText="1"/>
    </xf>
    <xf numFmtId="174" fontId="44" fillId="0" borderId="25" xfId="4" applyNumberFormat="1" applyFont="1" applyBorder="1" applyAlignment="1">
      <alignment horizontal="center" vertical="center"/>
    </xf>
    <xf numFmtId="164" fontId="44" fillId="0" borderId="25" xfId="4" applyNumberFormat="1" applyFont="1" applyBorder="1" applyAlignment="1">
      <alignment horizontal="center" vertical="center"/>
    </xf>
    <xf numFmtId="164" fontId="44" fillId="0" borderId="0" xfId="4" applyNumberFormat="1" applyFont="1" applyAlignment="1">
      <alignment horizontal="center" vertical="center"/>
    </xf>
    <xf numFmtId="44" fontId="41" fillId="0" borderId="0" xfId="14" applyFont="1" applyAlignment="1">
      <alignment vertical="center" wrapText="1"/>
    </xf>
    <xf numFmtId="0" fontId="40" fillId="0" borderId="25" xfId="4" applyFont="1" applyBorder="1" applyAlignment="1">
      <alignment horizontal="center" wrapText="1"/>
    </xf>
    <xf numFmtId="0" fontId="41" fillId="0" borderId="25" xfId="4" applyFont="1" applyBorder="1" applyAlignment="1">
      <alignment wrapText="1"/>
    </xf>
    <xf numFmtId="0" fontId="41" fillId="0" borderId="25" xfId="4" applyFont="1" applyBorder="1" applyAlignment="1">
      <alignment horizontal="center"/>
    </xf>
    <xf numFmtId="6" fontId="41" fillId="0" borderId="25" xfId="4" applyNumberFormat="1" applyFont="1" applyBorder="1" applyAlignment="1">
      <alignment horizontal="center" vertical="center"/>
    </xf>
    <xf numFmtId="0" fontId="41" fillId="0" borderId="0" xfId="4" applyFont="1" applyAlignment="1">
      <alignment horizontal="center" vertical="center"/>
    </xf>
    <xf numFmtId="0" fontId="45" fillId="0" borderId="0" xfId="4" applyFont="1" applyAlignment="1">
      <alignment wrapText="1"/>
    </xf>
    <xf numFmtId="0" fontId="40" fillId="0" borderId="25" xfId="4" applyFont="1" applyBorder="1" applyAlignment="1">
      <alignment wrapText="1"/>
    </xf>
    <xf numFmtId="0" fontId="40" fillId="0" borderId="0" xfId="4" applyFont="1" applyAlignment="1">
      <alignment wrapText="1"/>
    </xf>
    <xf numFmtId="0" fontId="40" fillId="0" borderId="0" xfId="4" applyFont="1" applyAlignment="1">
      <alignment horizontal="right" wrapText="1"/>
    </xf>
    <xf numFmtId="0" fontId="41" fillId="0" borderId="0" xfId="4" applyFont="1" applyAlignment="1">
      <alignment horizontal="center"/>
    </xf>
    <xf numFmtId="0" fontId="41" fillId="0" borderId="0" xfId="4" applyFont="1" applyAlignment="1">
      <alignment vertical="top" wrapText="1"/>
    </xf>
    <xf numFmtId="0" fontId="1" fillId="0" borderId="0" xfId="4" applyAlignment="1">
      <alignment vertical="top"/>
    </xf>
    <xf numFmtId="0" fontId="1" fillId="10" borderId="0" xfId="4" applyFill="1" applyAlignment="1">
      <alignment wrapText="1"/>
    </xf>
    <xf numFmtId="44" fontId="0" fillId="0" borderId="0" xfId="14" applyFont="1"/>
    <xf numFmtId="0" fontId="1" fillId="0" borderId="0" xfId="4" applyAlignment="1">
      <alignment vertical="top" wrapText="1"/>
    </xf>
    <xf numFmtId="0" fontId="46" fillId="0" borderId="0" xfId="0" applyFont="1" applyAlignment="1">
      <alignment horizontal="left" vertical="top" wrapText="1"/>
    </xf>
    <xf numFmtId="15" fontId="4" fillId="0" borderId="1" xfId="1" applyNumberFormat="1" applyFont="1" applyAlignment="1">
      <alignment horizontal="center" wrapText="1"/>
    </xf>
    <xf numFmtId="175" fontId="0" fillId="0" borderId="0" xfId="15" applyNumberFormat="1" applyFont="1"/>
    <xf numFmtId="0" fontId="48" fillId="14" borderId="0" xfId="0" applyFont="1" applyFill="1"/>
    <xf numFmtId="175" fontId="0" fillId="0" borderId="0" xfId="0" applyNumberFormat="1"/>
    <xf numFmtId="0" fontId="0" fillId="0" borderId="1" xfId="0" applyBorder="1"/>
    <xf numFmtId="175" fontId="0" fillId="0" borderId="1" xfId="15" applyNumberFormat="1" applyFont="1" applyBorder="1"/>
    <xf numFmtId="175" fontId="48" fillId="14" borderId="0" xfId="0" applyNumberFormat="1" applyFont="1" applyFill="1"/>
    <xf numFmtId="165" fontId="0" fillId="0" borderId="0" xfId="16" applyNumberFormat="1" applyFont="1"/>
    <xf numFmtId="165" fontId="0" fillId="0" borderId="1" xfId="16" applyNumberFormat="1" applyFont="1" applyBorder="1"/>
    <xf numFmtId="165" fontId="48" fillId="14" borderId="0" xfId="16" applyNumberFormat="1" applyFont="1" applyFill="1"/>
    <xf numFmtId="0" fontId="49" fillId="14" borderId="0" xfId="0" applyFont="1" applyFill="1"/>
    <xf numFmtId="0" fontId="49" fillId="14" borderId="0" xfId="0" applyFont="1" applyFill="1" applyAlignment="1">
      <alignment horizontal="center"/>
    </xf>
    <xf numFmtId="0" fontId="49" fillId="14" borderId="0" xfId="0" applyFont="1" applyFill="1" applyAlignment="1">
      <alignment horizontal="right"/>
    </xf>
    <xf numFmtId="0" fontId="50" fillId="14" borderId="0" xfId="0" applyFont="1" applyFill="1" applyAlignment="1">
      <alignment horizontal="center"/>
    </xf>
    <xf numFmtId="175" fontId="48" fillId="14" borderId="0" xfId="15" applyNumberFormat="1" applyFont="1" applyFill="1"/>
    <xf numFmtId="165" fontId="0" fillId="0" borderId="0" xfId="16" applyNumberFormat="1" applyFont="1" applyAlignment="1">
      <alignment horizontal="center"/>
    </xf>
    <xf numFmtId="165" fontId="0" fillId="0" borderId="1" xfId="16" applyNumberFormat="1" applyFont="1" applyBorder="1" applyAlignment="1">
      <alignment horizontal="center"/>
    </xf>
    <xf numFmtId="165" fontId="48" fillId="14" borderId="0" xfId="16" applyNumberFormat="1" applyFont="1" applyFill="1" applyAlignment="1">
      <alignment horizontal="center"/>
    </xf>
    <xf numFmtId="41" fontId="13" fillId="15" borderId="0" xfId="5" applyNumberFormat="1" applyFont="1" applyFill="1" applyAlignment="1">
      <alignment horizontal="left"/>
    </xf>
    <xf numFmtId="0" fontId="40" fillId="8" borderId="26" xfId="4" applyFont="1" applyFill="1" applyBorder="1" applyAlignment="1">
      <alignment horizontal="center" wrapText="1"/>
    </xf>
    <xf numFmtId="0" fontId="40" fillId="8" borderId="27" xfId="4" applyFont="1" applyFill="1" applyBorder="1" applyAlignment="1">
      <alignment horizontal="center" wrapText="1"/>
    </xf>
    <xf numFmtId="0" fontId="40" fillId="8" borderId="28" xfId="4" applyFont="1" applyFill="1" applyBorder="1" applyAlignment="1">
      <alignment horizontal="center" wrapText="1"/>
    </xf>
    <xf numFmtId="0" fontId="40" fillId="8" borderId="29" xfId="4" applyFont="1" applyFill="1" applyBorder="1" applyAlignment="1">
      <alignment horizontal="center" wrapText="1"/>
    </xf>
    <xf numFmtId="0" fontId="40" fillId="8" borderId="33" xfId="4" applyFont="1" applyFill="1" applyBorder="1" applyAlignment="1">
      <alignment horizontal="center" wrapText="1"/>
    </xf>
    <xf numFmtId="0" fontId="40" fillId="8" borderId="34" xfId="4" applyFont="1" applyFill="1" applyBorder="1" applyAlignment="1">
      <alignment horizontal="center" wrapText="1"/>
    </xf>
    <xf numFmtId="43" fontId="41" fillId="8" borderId="30" xfId="5" applyFont="1" applyFill="1" applyBorder="1" applyAlignment="1" applyProtection="1">
      <alignment horizontal="center" vertical="center"/>
      <protection locked="0"/>
    </xf>
    <xf numFmtId="43" fontId="41" fillId="8" borderId="31" xfId="5" applyFont="1" applyFill="1" applyBorder="1" applyAlignment="1" applyProtection="1">
      <alignment horizontal="center" vertical="center"/>
      <protection locked="0"/>
    </xf>
    <xf numFmtId="43" fontId="41" fillId="8" borderId="32" xfId="5" applyFont="1" applyFill="1" applyBorder="1" applyAlignment="1" applyProtection="1">
      <alignment horizontal="center" vertical="center"/>
      <protection locked="0"/>
    </xf>
    <xf numFmtId="164" fontId="41" fillId="8" borderId="30" xfId="4" applyNumberFormat="1" applyFont="1" applyFill="1" applyBorder="1" applyAlignment="1" applyProtection="1">
      <alignment horizontal="center" vertical="center"/>
      <protection locked="0"/>
    </xf>
    <xf numFmtId="164" fontId="41" fillId="8" borderId="31" xfId="4" applyNumberFormat="1" applyFont="1" applyFill="1" applyBorder="1" applyAlignment="1" applyProtection="1">
      <alignment horizontal="center" vertical="center"/>
      <protection locked="0"/>
    </xf>
    <xf numFmtId="164" fontId="41" fillId="8" borderId="32" xfId="4" applyNumberFormat="1" applyFont="1" applyFill="1" applyBorder="1" applyAlignment="1" applyProtection="1">
      <alignment horizontal="center" vertical="center"/>
      <protection locked="0"/>
    </xf>
    <xf numFmtId="0" fontId="41" fillId="8" borderId="26" xfId="4" applyFont="1" applyFill="1" applyBorder="1" applyAlignment="1">
      <alignment horizontal="center" vertical="center" wrapText="1"/>
    </xf>
    <xf numFmtId="0" fontId="41" fillId="8" borderId="27" xfId="4" applyFont="1" applyFill="1" applyBorder="1" applyAlignment="1">
      <alignment horizontal="center" vertical="center" wrapText="1"/>
    </xf>
    <xf numFmtId="0" fontId="41" fillId="8" borderId="28" xfId="4" applyFont="1" applyFill="1" applyBorder="1" applyAlignment="1">
      <alignment horizontal="center" vertical="center" wrapText="1"/>
    </xf>
    <xf numFmtId="0" fontId="41" fillId="8" borderId="29" xfId="4" applyFont="1" applyFill="1" applyBorder="1" applyAlignment="1">
      <alignment horizontal="center" vertical="center" wrapText="1"/>
    </xf>
    <xf numFmtId="0" fontId="41" fillId="8" borderId="33" xfId="4" applyFont="1" applyFill="1" applyBorder="1" applyAlignment="1">
      <alignment horizontal="center" vertical="center" wrapText="1"/>
    </xf>
    <xf numFmtId="0" fontId="41" fillId="8" borderId="34" xfId="4" applyFont="1" applyFill="1" applyBorder="1" applyAlignment="1">
      <alignment horizontal="center" vertical="center" wrapText="1"/>
    </xf>
    <xf numFmtId="164" fontId="41" fillId="8" borderId="30" xfId="4" applyNumberFormat="1" applyFont="1" applyFill="1" applyBorder="1" applyAlignment="1">
      <alignment horizontal="center" vertical="center"/>
    </xf>
    <xf numFmtId="164" fontId="41" fillId="8" borderId="31" xfId="4" applyNumberFormat="1" applyFont="1" applyFill="1" applyBorder="1" applyAlignment="1">
      <alignment horizontal="center" vertical="center"/>
    </xf>
    <xf numFmtId="164" fontId="41" fillId="8" borderId="32" xfId="4" applyNumberFormat="1" applyFont="1" applyFill="1" applyBorder="1" applyAlignment="1">
      <alignment horizontal="center" vertical="center"/>
    </xf>
    <xf numFmtId="0" fontId="41" fillId="8" borderId="2" xfId="4" applyFont="1" applyFill="1" applyBorder="1" applyAlignment="1">
      <alignment horizontal="center" vertical="center" wrapText="1"/>
    </xf>
    <xf numFmtId="0" fontId="41" fillId="8" borderId="1" xfId="4" applyFont="1" applyFill="1" applyBorder="1" applyAlignment="1">
      <alignment horizontal="center" vertical="center" wrapText="1"/>
    </xf>
    <xf numFmtId="164" fontId="41" fillId="0" borderId="30" xfId="4" applyNumberFormat="1" applyFont="1" applyBorder="1" applyAlignment="1">
      <alignment horizontal="center" vertical="center"/>
    </xf>
    <xf numFmtId="164" fontId="41" fillId="0" borderId="31" xfId="4" applyNumberFormat="1" applyFont="1" applyBorder="1" applyAlignment="1">
      <alignment horizontal="center" vertical="center"/>
    </xf>
    <xf numFmtId="164" fontId="41" fillId="0" borderId="32" xfId="4" applyNumberFormat="1" applyFont="1" applyBorder="1" applyAlignment="1">
      <alignment horizontal="center" vertical="center"/>
    </xf>
    <xf numFmtId="0" fontId="40" fillId="0" borderId="35" xfId="4" applyFont="1" applyBorder="1" applyAlignment="1">
      <alignment horizontal="center" wrapText="1"/>
    </xf>
    <xf numFmtId="0" fontId="40" fillId="0" borderId="37" xfId="4" applyFont="1" applyBorder="1" applyAlignment="1">
      <alignment horizontal="center" wrapText="1"/>
    </xf>
    <xf numFmtId="0" fontId="40" fillId="0" borderId="36" xfId="4" applyFont="1" applyBorder="1" applyAlignment="1">
      <alignment horizontal="center" wrapText="1"/>
    </xf>
    <xf numFmtId="0" fontId="40" fillId="0" borderId="35" xfId="4" applyFont="1" applyBorder="1" applyAlignment="1">
      <alignment horizontal="right" vertical="center" wrapText="1"/>
    </xf>
    <xf numFmtId="0" fontId="40" fillId="0" borderId="37" xfId="4" applyFont="1" applyBorder="1" applyAlignment="1">
      <alignment horizontal="right" vertical="center" wrapText="1"/>
    </xf>
    <xf numFmtId="0" fontId="41" fillId="11" borderId="35" xfId="4" applyFont="1" applyFill="1" applyBorder="1" applyAlignment="1">
      <alignment horizontal="center" vertical="center" wrapText="1"/>
    </xf>
    <xf numFmtId="0" fontId="41" fillId="11" borderId="36" xfId="4" applyFont="1" applyFill="1" applyBorder="1" applyAlignment="1">
      <alignment horizontal="center" vertical="center" wrapText="1"/>
    </xf>
    <xf numFmtId="0" fontId="41" fillId="11" borderId="37" xfId="4" applyFont="1" applyFill="1" applyBorder="1" applyAlignment="1">
      <alignment horizontal="center" vertical="center" wrapText="1"/>
    </xf>
    <xf numFmtId="0" fontId="41" fillId="0" borderId="26" xfId="4" applyFont="1" applyBorder="1" applyAlignment="1">
      <alignment horizontal="center" vertical="center" wrapText="1"/>
    </xf>
    <xf numFmtId="0" fontId="41" fillId="0" borderId="27" xfId="4" applyFont="1" applyBorder="1" applyAlignment="1">
      <alignment horizontal="center" vertical="center" wrapText="1"/>
    </xf>
    <xf numFmtId="0" fontId="41" fillId="0" borderId="28" xfId="4" applyFont="1" applyBorder="1" applyAlignment="1">
      <alignment horizontal="center" vertical="center" wrapText="1"/>
    </xf>
    <xf numFmtId="0" fontId="41" fillId="0" borderId="29" xfId="4" applyFont="1" applyBorder="1" applyAlignment="1">
      <alignment horizontal="center" vertical="center" wrapText="1"/>
    </xf>
    <xf numFmtId="0" fontId="41" fillId="0" borderId="33" xfId="4" applyFont="1" applyBorder="1" applyAlignment="1">
      <alignment horizontal="center" vertical="center" wrapText="1"/>
    </xf>
    <xf numFmtId="0" fontId="41" fillId="0" borderId="34" xfId="4" applyFont="1" applyBorder="1" applyAlignment="1">
      <alignment horizontal="center" vertical="center" wrapText="1"/>
    </xf>
    <xf numFmtId="0" fontId="41" fillId="0" borderId="35" xfId="4" applyFont="1" applyBorder="1" applyAlignment="1">
      <alignment horizontal="right" wrapText="1"/>
    </xf>
    <xf numFmtId="0" fontId="41" fillId="0" borderId="36" xfId="4" applyFont="1" applyBorder="1" applyAlignment="1">
      <alignment horizontal="right" wrapText="1"/>
    </xf>
    <xf numFmtId="0" fontId="41" fillId="0" borderId="37" xfId="4" applyFont="1" applyBorder="1" applyAlignment="1">
      <alignment horizontal="right" wrapText="1"/>
    </xf>
    <xf numFmtId="0" fontId="36" fillId="0" borderId="0" xfId="0" applyFont="1" applyAlignment="1">
      <alignment horizontal="left" wrapText="1"/>
    </xf>
    <xf numFmtId="0" fontId="34" fillId="0" borderId="0" xfId="0" applyFont="1" applyAlignment="1">
      <alignment horizontal="left" wrapText="1"/>
    </xf>
    <xf numFmtId="0" fontId="37" fillId="0" borderId="0" xfId="0" applyFont="1" applyAlignment="1">
      <alignment horizontal="left" wrapText="1"/>
    </xf>
    <xf numFmtId="0" fontId="6" fillId="0" borderId="0" xfId="0" applyFont="1" applyAlignment="1">
      <alignment horizontal="center" wrapText="1"/>
    </xf>
    <xf numFmtId="0" fontId="0" fillId="0" borderId="0" xfId="0" applyAlignment="1">
      <alignment wrapText="1"/>
    </xf>
    <xf numFmtId="0" fontId="3" fillId="0" borderId="0" xfId="0" applyFont="1" applyAlignment="1">
      <alignment horizontal="center" wrapText="1"/>
    </xf>
    <xf numFmtId="0" fontId="8" fillId="0" borderId="0" xfId="0" applyFont="1" applyAlignment="1">
      <alignment horizontal="center" wrapText="1"/>
    </xf>
    <xf numFmtId="0" fontId="7" fillId="0" borderId="0" xfId="0" applyFont="1" applyAlignment="1">
      <alignment horizontal="center" wrapText="1"/>
    </xf>
  </cellXfs>
  <cellStyles count="17">
    <cellStyle name="Comma 2" xfId="5" xr:uid="{8C296ECC-ED6B-4C95-BF6E-64A405E55DB5}"/>
    <cellStyle name="Currency" xfId="15" builtinId="4"/>
    <cellStyle name="Currency 2" xfId="12" xr:uid="{228720C6-8D3A-4823-AECA-9E1E5FAD5209}"/>
    <cellStyle name="Currency 3" xfId="14" xr:uid="{50FF7FDF-CAF9-4A0F-8871-40BD90394D1A}"/>
    <cellStyle name="GroupedCellStyle" xfId="2" xr:uid="{00000000-0005-0000-0000-000007000000}"/>
    <cellStyle name="HeaderCellStyle" xfId="1" xr:uid="{00000000-0005-0000-0000-000006000000}"/>
    <cellStyle name="Input #" xfId="8" xr:uid="{DD9A4ECE-5CA1-43DF-A03D-3A99A64DFBBC}"/>
    <cellStyle name="Input %" xfId="7" xr:uid="{222632A5-455A-4ADF-A1D3-99788C5E04A3}"/>
    <cellStyle name="Normal" xfId="0" builtinId="0"/>
    <cellStyle name="Normal 2" xfId="11" xr:uid="{63B3FDB3-73F8-4B2D-ACC0-0F19FF2FFDD9}"/>
    <cellStyle name="Normal 2 2" xfId="4" xr:uid="{552FC120-46DF-49A9-8F9A-91DCBD9C93B5}"/>
    <cellStyle name="Normal 2 3" xfId="13" xr:uid="{7EFA9D5C-7D26-4933-8B9A-C341BCB7B856}"/>
    <cellStyle name="Normal_Pro Forma Comp" xfId="6" xr:uid="{76F24FD5-2C6C-4BF7-BB6C-63681685DD0D}"/>
    <cellStyle name="Percent" xfId="16" builtinId="5"/>
    <cellStyle name="Percent 2" xfId="9" xr:uid="{0CC4E6C5-AE69-481C-8CF6-DE7E35225BB1}"/>
    <cellStyle name="Percent 32" xfId="10" xr:uid="{BDFB7985-878D-4B28-889F-99229B3169D0}"/>
    <cellStyle name="TotalCellStyle" xfId="3" xr:uid="{00000000-0005-0000-0000-000008000000}"/>
  </cellStyles>
  <dxfs count="8">
    <dxf>
      <font>
        <color indexed="9"/>
      </font>
    </dxf>
    <dxf>
      <font>
        <color indexed="9"/>
      </font>
    </dxf>
    <dxf>
      <font>
        <color indexed="9"/>
      </font>
    </dxf>
    <dxf>
      <font>
        <color indexed="9"/>
      </font>
    </dxf>
    <dxf>
      <font>
        <color indexed="9"/>
      </font>
    </dxf>
    <dxf>
      <font>
        <color indexed="9"/>
      </font>
    </dxf>
    <dxf>
      <font>
        <color indexed="9"/>
      </font>
    </dxf>
    <dxf>
      <font>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file:///\\Ad.us.mrshmc.com\US_Data\Groups\NYC\Groups1\dep\mmi-treasury%20dept\TREASURY\SP\Corporate%20Development\Active%20Transactions\Agencies\Subi's%20Files\A.%20Deals\Project%20Rocky%20(Precision%20Brokers)\Excel\Project%20Rocky%20(Precision%20Brokers)%20-%20Deal%20Model%20(6-2-26).xlsx" TargetMode="External"/><Relationship Id="rId2" Type="http://schemas.microsoft.com/office/2019/04/relationships/externalLinkLongPath" Target="file:///\\Ad.us.mrshmc.com\US_Data\Groups\NYC\Groups1\dep\mmi-treasury%20dept\TREASURY\SP\Corporate%20Development\Active%20Transactions\Agencies\Subi's%20Files\A.%20Deals\Project%20Rocky%20(Precision%20Brokers)\Excel\Project%20Rocky%20(Precision%20Brokers)%20-%20Deal%20Model%20(6-2-26).xlsx?14677741" TargetMode="External"/><Relationship Id="rId1" Type="http://schemas.openxmlformats.org/officeDocument/2006/relationships/externalLinkPath" Target="file:///\\14677741\Project%20Rocky%20(Precision%20Brokers)%20-%20Deal%20Model%20(6-2-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puts"/>
      <sheetName val="FinancialProj"/>
      <sheetName val="NPV"/>
      <sheetName val="ValSummary"/>
      <sheetName val="AccDilu"/>
      <sheetName val="Retention"/>
      <sheetName val="ContingentPmts"/>
      <sheetName val="TaxBene (Asset deal only)"/>
      <sheetName val="Proposed Transaction"/>
      <sheetName val="Sensitivity Analysis"/>
      <sheetName val="Pro Forma &gt;&gt;"/>
      <sheetName val="PF_Input"/>
      <sheetName val="PF_Schedule"/>
      <sheetName val="SalaryRoster"/>
      <sheetName val="PF_Detail"/>
      <sheetName val="PF_Summary"/>
      <sheetName val="PF_Notes"/>
      <sheetName val="Appendix &gt;&gt;"/>
      <sheetName val="Historical Financials"/>
      <sheetName val="Clients"/>
      <sheetName val="Carriers-P&amp;C"/>
      <sheetName val="LoB-P&amp;C"/>
      <sheetName val="Carriers-EH&amp;B"/>
      <sheetName val="LoB-EH&amp;B"/>
      <sheetName val="Producers"/>
      <sheetName val="Contingent"/>
      <sheetName val="Acct. Strat."/>
      <sheetName val="BOB"/>
      <sheetName val="Sheet3"/>
      <sheetName val="Monthly Retention"/>
      <sheetName val="PF Bridge"/>
      <sheetName val="Consideration Analysis"/>
      <sheetName val="Cash Flow Schedule"/>
      <sheetName val="Contingent Deferred Schedule"/>
      <sheetName val="Benefit Cost by Region"/>
      <sheetName val="Comparison"/>
      <sheetName val="GEM (Q1-26, 3.19)"/>
    </sheetNames>
    <sheetDataSet>
      <sheetData sheetId="0">
        <row r="8">
          <cell r="H8" t="str">
            <v>Precision Brokers</v>
          </cell>
        </row>
        <row r="9">
          <cell r="H9" t="str">
            <v>Project Rocky</v>
          </cell>
        </row>
        <row r="10">
          <cell r="H10" t="str">
            <v>Fold-In</v>
          </cell>
        </row>
        <row r="11">
          <cell r="H11" t="str">
            <v>LLC</v>
          </cell>
        </row>
        <row r="12">
          <cell r="H12" t="str">
            <v>Asset</v>
          </cell>
        </row>
        <row r="13">
          <cell r="H13">
            <v>46022</v>
          </cell>
        </row>
        <row r="14">
          <cell r="H14" t="str">
            <v>MMA West</v>
          </cell>
        </row>
        <row r="45">
          <cell r="F45">
            <v>0.17408052008647479</v>
          </cell>
          <cell r="G45">
            <v>0.16550543463202838</v>
          </cell>
        </row>
        <row r="60">
          <cell r="H60">
            <v>0.26500000000000001</v>
          </cell>
        </row>
        <row r="73">
          <cell r="H73">
            <v>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5">
          <cell r="C5">
            <v>2022</v>
          </cell>
          <cell r="D5">
            <v>2023</v>
          </cell>
          <cell r="E5">
            <v>2024</v>
          </cell>
          <cell r="F5" t="str">
            <v>Reported</v>
          </cell>
        </row>
        <row r="9">
          <cell r="B9" t="str">
            <v>Income</v>
          </cell>
          <cell r="C9">
            <v>0</v>
          </cell>
          <cell r="D9">
            <v>0</v>
          </cell>
          <cell r="E9">
            <v>0</v>
          </cell>
          <cell r="F9">
            <v>351963.13</v>
          </cell>
        </row>
        <row r="10">
          <cell r="C10">
            <v>0</v>
          </cell>
          <cell r="D10">
            <v>0</v>
          </cell>
          <cell r="E10">
            <v>0</v>
          </cell>
          <cell r="F10">
            <v>0</v>
          </cell>
        </row>
        <row r="11">
          <cell r="C11">
            <v>0</v>
          </cell>
          <cell r="D11">
            <v>0</v>
          </cell>
          <cell r="E11">
            <v>0</v>
          </cell>
          <cell r="F11">
            <v>0</v>
          </cell>
        </row>
        <row r="12">
          <cell r="C12">
            <v>0</v>
          </cell>
          <cell r="D12">
            <v>0</v>
          </cell>
          <cell r="E12">
            <v>0</v>
          </cell>
          <cell r="F12">
            <v>0</v>
          </cell>
        </row>
        <row r="13">
          <cell r="C13">
            <v>0</v>
          </cell>
          <cell r="D13">
            <v>0</v>
          </cell>
          <cell r="E13">
            <v>0</v>
          </cell>
          <cell r="F13">
            <v>0</v>
          </cell>
        </row>
        <row r="14">
          <cell r="C14">
            <v>0</v>
          </cell>
          <cell r="D14">
            <v>0</v>
          </cell>
          <cell r="E14">
            <v>0</v>
          </cell>
          <cell r="F14">
            <v>0</v>
          </cell>
        </row>
        <row r="15">
          <cell r="B15" t="str">
            <v>Gross Commissions &amp; Fees</v>
          </cell>
          <cell r="C15">
            <v>0</v>
          </cell>
          <cell r="D15">
            <v>0</v>
          </cell>
          <cell r="E15">
            <v>0</v>
          </cell>
          <cell r="F15">
            <v>351963.13</v>
          </cell>
        </row>
        <row r="17">
          <cell r="C17">
            <v>0</v>
          </cell>
          <cell r="D17">
            <v>0</v>
          </cell>
          <cell r="E17">
            <v>0</v>
          </cell>
          <cell r="F17">
            <v>0</v>
          </cell>
        </row>
        <row r="18">
          <cell r="B18" t="str">
            <v>Sub-Broker Expense</v>
          </cell>
          <cell r="C18">
            <v>0</v>
          </cell>
          <cell r="D18">
            <v>0</v>
          </cell>
          <cell r="E18">
            <v>0</v>
          </cell>
          <cell r="F18">
            <v>0</v>
          </cell>
        </row>
        <row r="20">
          <cell r="B20" t="str">
            <v>Net Commissions &amp; Fees</v>
          </cell>
          <cell r="C20">
            <v>0</v>
          </cell>
          <cell r="D20">
            <v>0</v>
          </cell>
          <cell r="E20">
            <v>0</v>
          </cell>
          <cell r="F20">
            <v>351963.13</v>
          </cell>
        </row>
        <row r="22">
          <cell r="C22">
            <v>0</v>
          </cell>
          <cell r="D22">
            <v>0</v>
          </cell>
          <cell r="E22">
            <v>0</v>
          </cell>
          <cell r="F22">
            <v>0</v>
          </cell>
        </row>
        <row r="23">
          <cell r="B23" t="str">
            <v>Beazley Contingent</v>
          </cell>
          <cell r="C23">
            <v>0</v>
          </cell>
          <cell r="D23">
            <v>0</v>
          </cell>
          <cell r="E23">
            <v>0</v>
          </cell>
          <cell r="F23">
            <v>64000</v>
          </cell>
        </row>
        <row r="24">
          <cell r="B24" t="str">
            <v>Contingent &amp; Overrides</v>
          </cell>
          <cell r="C24">
            <v>0</v>
          </cell>
          <cell r="D24">
            <v>0</v>
          </cell>
          <cell r="E24">
            <v>0</v>
          </cell>
          <cell r="F24">
            <v>64000</v>
          </cell>
        </row>
        <row r="26">
          <cell r="C26">
            <v>0</v>
          </cell>
          <cell r="D26">
            <v>0</v>
          </cell>
          <cell r="E26">
            <v>0</v>
          </cell>
          <cell r="F26">
            <v>0</v>
          </cell>
        </row>
        <row r="27">
          <cell r="C27">
            <v>0</v>
          </cell>
          <cell r="D27">
            <v>0</v>
          </cell>
          <cell r="E27">
            <v>0</v>
          </cell>
          <cell r="F27">
            <v>0</v>
          </cell>
        </row>
        <row r="28">
          <cell r="B28" t="str">
            <v>Other Income</v>
          </cell>
          <cell r="C28">
            <v>0</v>
          </cell>
          <cell r="D28">
            <v>0</v>
          </cell>
          <cell r="E28">
            <v>0</v>
          </cell>
          <cell r="F28">
            <v>0</v>
          </cell>
        </row>
        <row r="30">
          <cell r="B30" t="str">
            <v>Total Revenue</v>
          </cell>
          <cell r="C30">
            <v>0</v>
          </cell>
          <cell r="D30">
            <v>0</v>
          </cell>
          <cell r="E30">
            <v>0</v>
          </cell>
          <cell r="F30">
            <v>415963.13</v>
          </cell>
        </row>
        <row r="32">
          <cell r="B32" t="str">
            <v>Expenses</v>
          </cell>
        </row>
        <row r="33">
          <cell r="B33" t="str">
            <v>Employee Retirement Plans</v>
          </cell>
          <cell r="C33">
            <v>0</v>
          </cell>
          <cell r="D33">
            <v>0</v>
          </cell>
          <cell r="E33">
            <v>0</v>
          </cell>
          <cell r="F33">
            <v>1850</v>
          </cell>
        </row>
        <row r="34">
          <cell r="B34" t="str">
            <v>Officers Salary</v>
          </cell>
          <cell r="C34">
            <v>0</v>
          </cell>
          <cell r="D34">
            <v>0</v>
          </cell>
          <cell r="E34">
            <v>0</v>
          </cell>
          <cell r="F34">
            <v>200002.16</v>
          </cell>
        </row>
        <row r="35">
          <cell r="B35" t="str">
            <v>Payroll Taxes</v>
          </cell>
          <cell r="C35">
            <v>0</v>
          </cell>
          <cell r="D35">
            <v>0</v>
          </cell>
          <cell r="E35">
            <v>0</v>
          </cell>
          <cell r="F35">
            <v>26816.6</v>
          </cell>
        </row>
        <row r="36">
          <cell r="B36" t="str">
            <v>Staff Wages</v>
          </cell>
          <cell r="F36">
            <v>122550.59</v>
          </cell>
        </row>
        <row r="39">
          <cell r="C39">
            <v>0</v>
          </cell>
          <cell r="D39">
            <v>0</v>
          </cell>
          <cell r="E39">
            <v>0</v>
          </cell>
          <cell r="F39">
            <v>0</v>
          </cell>
        </row>
        <row r="40">
          <cell r="B40" t="str">
            <v>Compensation &amp; Benefits</v>
          </cell>
          <cell r="C40">
            <v>0</v>
          </cell>
          <cell r="D40">
            <v>0</v>
          </cell>
          <cell r="E40">
            <v>0</v>
          </cell>
          <cell r="F40">
            <v>351219.35</v>
          </cell>
        </row>
        <row r="42">
          <cell r="B42" t="str">
            <v>Advertising &amp; Marketing</v>
          </cell>
          <cell r="C42">
            <v>0</v>
          </cell>
          <cell r="D42">
            <v>0</v>
          </cell>
          <cell r="E42">
            <v>0</v>
          </cell>
          <cell r="F42">
            <v>1280.7</v>
          </cell>
        </row>
        <row r="43">
          <cell r="B43" t="str">
            <v>Meals</v>
          </cell>
          <cell r="C43">
            <v>0</v>
          </cell>
          <cell r="D43">
            <v>0</v>
          </cell>
          <cell r="E43">
            <v>0</v>
          </cell>
          <cell r="F43">
            <v>3479.88</v>
          </cell>
        </row>
        <row r="44">
          <cell r="B44" t="str">
            <v>Meals with clients</v>
          </cell>
          <cell r="F44">
            <v>33.75</v>
          </cell>
        </row>
        <row r="45">
          <cell r="B45" t="str">
            <v>Travel</v>
          </cell>
          <cell r="F45">
            <v>791.78</v>
          </cell>
        </row>
        <row r="46">
          <cell r="B46" t="str">
            <v>Airfare</v>
          </cell>
          <cell r="F46">
            <v>6890.65</v>
          </cell>
        </row>
        <row r="47">
          <cell r="B47" t="str">
            <v>Hotels</v>
          </cell>
          <cell r="F47">
            <v>5738.11</v>
          </cell>
        </row>
        <row r="48">
          <cell r="B48" t="str">
            <v>Taxis or shared rides</v>
          </cell>
          <cell r="F48">
            <v>1779.1</v>
          </cell>
        </row>
        <row r="49">
          <cell r="B49" t="str">
            <v>Parking &amp; Tolls</v>
          </cell>
          <cell r="F49">
            <v>94</v>
          </cell>
        </row>
        <row r="51">
          <cell r="C51">
            <v>0</v>
          </cell>
          <cell r="D51">
            <v>0</v>
          </cell>
          <cell r="E51">
            <v>0</v>
          </cell>
          <cell r="F51">
            <v>0</v>
          </cell>
        </row>
        <row r="52">
          <cell r="B52" t="str">
            <v>Selling &amp; Marketing</v>
          </cell>
          <cell r="C52">
            <v>0</v>
          </cell>
          <cell r="D52">
            <v>0</v>
          </cell>
          <cell r="E52">
            <v>0</v>
          </cell>
          <cell r="F52">
            <v>20087.969999999998</v>
          </cell>
        </row>
        <row r="54">
          <cell r="B54" t="str">
            <v>Business licenses</v>
          </cell>
          <cell r="C54">
            <v>0</v>
          </cell>
          <cell r="D54">
            <v>0</v>
          </cell>
          <cell r="E54">
            <v>0</v>
          </cell>
          <cell r="F54">
            <v>1313.97</v>
          </cell>
        </row>
        <row r="55">
          <cell r="B55" t="str">
            <v>Dues and memberships</v>
          </cell>
          <cell r="C55">
            <v>0</v>
          </cell>
          <cell r="D55">
            <v>0</v>
          </cell>
          <cell r="E55">
            <v>0</v>
          </cell>
          <cell r="F55">
            <v>6366</v>
          </cell>
        </row>
        <row r="56">
          <cell r="B56" t="str">
            <v>Employee Expense reimbursement</v>
          </cell>
          <cell r="C56">
            <v>0</v>
          </cell>
          <cell r="D56">
            <v>0</v>
          </cell>
          <cell r="E56">
            <v>0</v>
          </cell>
          <cell r="F56">
            <v>457.72</v>
          </cell>
        </row>
        <row r="57">
          <cell r="B57" t="str">
            <v>General business expenses</v>
          </cell>
          <cell r="C57">
            <v>0</v>
          </cell>
          <cell r="D57">
            <v>0</v>
          </cell>
          <cell r="E57">
            <v>0</v>
          </cell>
          <cell r="F57">
            <v>14.35</v>
          </cell>
        </row>
        <row r="58">
          <cell r="B58" t="str">
            <v>Bank fees &amp; service charges</v>
          </cell>
          <cell r="C58">
            <v>0</v>
          </cell>
          <cell r="D58">
            <v>0</v>
          </cell>
          <cell r="E58">
            <v>0</v>
          </cell>
          <cell r="F58">
            <v>290.82</v>
          </cell>
        </row>
        <row r="59">
          <cell r="B59" t="str">
            <v>Continuing Education</v>
          </cell>
          <cell r="C59">
            <v>0</v>
          </cell>
          <cell r="D59">
            <v>0</v>
          </cell>
          <cell r="E59">
            <v>0</v>
          </cell>
          <cell r="F59">
            <v>1927.27</v>
          </cell>
        </row>
        <row r="60">
          <cell r="B60" t="str">
            <v>Memberships and subscriptions</v>
          </cell>
          <cell r="C60">
            <v>0</v>
          </cell>
          <cell r="D60">
            <v>0</v>
          </cell>
          <cell r="E60">
            <v>0</v>
          </cell>
          <cell r="F60">
            <v>99</v>
          </cell>
        </row>
        <row r="61">
          <cell r="B61" t="str">
            <v>Insurance</v>
          </cell>
          <cell r="C61">
            <v>0</v>
          </cell>
          <cell r="D61">
            <v>0</v>
          </cell>
          <cell r="E61">
            <v>0</v>
          </cell>
          <cell r="F61">
            <v>3386.02</v>
          </cell>
        </row>
        <row r="62">
          <cell r="B62" t="str">
            <v>Accounting Fees</v>
          </cell>
          <cell r="C62">
            <v>0</v>
          </cell>
          <cell r="D62">
            <v>0</v>
          </cell>
          <cell r="E62">
            <v>0</v>
          </cell>
          <cell r="F62">
            <v>5940.56</v>
          </cell>
        </row>
        <row r="63">
          <cell r="B63" t="str">
            <v>Legal Fees</v>
          </cell>
          <cell r="C63">
            <v>0</v>
          </cell>
          <cell r="D63">
            <v>0</v>
          </cell>
          <cell r="E63">
            <v>0</v>
          </cell>
          <cell r="F63">
            <v>3948.01</v>
          </cell>
        </row>
        <row r="64">
          <cell r="B64" t="str">
            <v>Office Expenses</v>
          </cell>
          <cell r="C64">
            <v>0</v>
          </cell>
          <cell r="D64">
            <v>0</v>
          </cell>
          <cell r="E64">
            <v>0</v>
          </cell>
          <cell r="F64">
            <v>340.42</v>
          </cell>
        </row>
        <row r="65">
          <cell r="B65" t="str">
            <v>Office Supplies</v>
          </cell>
          <cell r="C65">
            <v>0</v>
          </cell>
          <cell r="D65">
            <v>0</v>
          </cell>
          <cell r="E65">
            <v>0</v>
          </cell>
          <cell r="F65">
            <v>497.17</v>
          </cell>
        </row>
        <row r="66">
          <cell r="B66" t="str">
            <v>Shipping &amp; Postage</v>
          </cell>
          <cell r="C66">
            <v>0</v>
          </cell>
          <cell r="D66">
            <v>0</v>
          </cell>
          <cell r="E66">
            <v>0</v>
          </cell>
          <cell r="F66">
            <v>231.11</v>
          </cell>
        </row>
        <row r="67">
          <cell r="B67" t="str">
            <v>Software, IT, &amp; Apps</v>
          </cell>
          <cell r="C67">
            <v>0</v>
          </cell>
          <cell r="D67">
            <v>0</v>
          </cell>
          <cell r="E67">
            <v>0</v>
          </cell>
          <cell r="F67">
            <v>17124.09</v>
          </cell>
        </row>
        <row r="68">
          <cell r="B68" t="str">
            <v>Professional Services</v>
          </cell>
          <cell r="C68">
            <v>0</v>
          </cell>
          <cell r="D68">
            <v>0</v>
          </cell>
          <cell r="E68">
            <v>0</v>
          </cell>
          <cell r="F68">
            <v>3600.36</v>
          </cell>
        </row>
        <row r="69">
          <cell r="B69" t="str">
            <v>OFF RENT</v>
          </cell>
          <cell r="C69">
            <v>0</v>
          </cell>
          <cell r="D69">
            <v>0</v>
          </cell>
          <cell r="E69">
            <v>0</v>
          </cell>
          <cell r="F69">
            <v>679.78</v>
          </cell>
        </row>
        <row r="70">
          <cell r="B70" t="str">
            <v>Payroll Fees</v>
          </cell>
          <cell r="C70">
            <v>0</v>
          </cell>
          <cell r="D70">
            <v>0</v>
          </cell>
          <cell r="E70">
            <v>0</v>
          </cell>
          <cell r="F70">
            <v>1241.75</v>
          </cell>
        </row>
        <row r="71">
          <cell r="C71">
            <v>0</v>
          </cell>
          <cell r="D71">
            <v>0</v>
          </cell>
          <cell r="E71">
            <v>0</v>
          </cell>
          <cell r="F71">
            <v>0</v>
          </cell>
        </row>
        <row r="72">
          <cell r="C72">
            <v>0</v>
          </cell>
          <cell r="D72">
            <v>0</v>
          </cell>
          <cell r="E72">
            <v>0</v>
          </cell>
          <cell r="F72">
            <v>0</v>
          </cell>
        </row>
        <row r="73">
          <cell r="C73">
            <v>0</v>
          </cell>
          <cell r="D73">
            <v>0</v>
          </cell>
          <cell r="E73">
            <v>0</v>
          </cell>
          <cell r="F73">
            <v>0</v>
          </cell>
        </row>
        <row r="74">
          <cell r="C74">
            <v>0</v>
          </cell>
          <cell r="D74">
            <v>0</v>
          </cell>
          <cell r="E74">
            <v>0</v>
          </cell>
          <cell r="F74">
            <v>0</v>
          </cell>
        </row>
        <row r="75">
          <cell r="C75">
            <v>0</v>
          </cell>
          <cell r="D75">
            <v>0</v>
          </cell>
          <cell r="E75">
            <v>0</v>
          </cell>
          <cell r="F75">
            <v>0</v>
          </cell>
        </row>
        <row r="76">
          <cell r="C76">
            <v>0</v>
          </cell>
          <cell r="D76">
            <v>0</v>
          </cell>
          <cell r="E76">
            <v>0</v>
          </cell>
          <cell r="F76">
            <v>0</v>
          </cell>
        </row>
        <row r="77">
          <cell r="B77" t="str">
            <v>Other Expenses</v>
          </cell>
          <cell r="C77">
            <v>0</v>
          </cell>
          <cell r="D77">
            <v>0</v>
          </cell>
          <cell r="E77">
            <v>0</v>
          </cell>
          <cell r="F77">
            <v>47458.399999999994</v>
          </cell>
        </row>
        <row r="79">
          <cell r="B79" t="str">
            <v>EBITDA</v>
          </cell>
          <cell r="C79">
            <v>0</v>
          </cell>
          <cell r="D79">
            <v>0</v>
          </cell>
          <cell r="E79">
            <v>0</v>
          </cell>
          <cell r="F79">
            <v>-2802.5899999999638</v>
          </cell>
        </row>
        <row r="80">
          <cell r="B80" t="str">
            <v>EBITDA margin</v>
          </cell>
          <cell r="C80" t="e">
            <v>#DIV/0!</v>
          </cell>
          <cell r="D80" t="e">
            <v>#DIV/0!</v>
          </cell>
          <cell r="E80" t="e">
            <v>#DIV/0!</v>
          </cell>
          <cell r="F80">
            <v>-6.737592343821347E-3</v>
          </cell>
        </row>
        <row r="82">
          <cell r="B82" t="str">
            <v>Credit Card Interest</v>
          </cell>
          <cell r="C82">
            <v>0</v>
          </cell>
          <cell r="D82">
            <v>0</v>
          </cell>
          <cell r="E82">
            <v>0</v>
          </cell>
          <cell r="F82">
            <v>206</v>
          </cell>
        </row>
        <row r="83">
          <cell r="B83" t="str">
            <v>Convenience fee income</v>
          </cell>
          <cell r="C83">
            <v>0</v>
          </cell>
          <cell r="D83">
            <v>0</v>
          </cell>
          <cell r="E83">
            <v>0</v>
          </cell>
          <cell r="F83">
            <v>-205</v>
          </cell>
        </row>
        <row r="84">
          <cell r="C84">
            <v>0</v>
          </cell>
          <cell r="D84">
            <v>0</v>
          </cell>
          <cell r="E84">
            <v>0</v>
          </cell>
          <cell r="F84">
            <v>0</v>
          </cell>
        </row>
        <row r="85">
          <cell r="C85">
            <v>0</v>
          </cell>
          <cell r="D85">
            <v>0</v>
          </cell>
          <cell r="E85">
            <v>0</v>
          </cell>
          <cell r="F85">
            <v>0</v>
          </cell>
        </row>
        <row r="86">
          <cell r="B86" t="str">
            <v>EBITDA Expenses</v>
          </cell>
          <cell r="C86">
            <v>0</v>
          </cell>
          <cell r="D86">
            <v>0</v>
          </cell>
          <cell r="E86">
            <v>0</v>
          </cell>
          <cell r="F86">
            <v>1</v>
          </cell>
        </row>
        <row r="88">
          <cell r="B88" t="str">
            <v>Net Income</v>
          </cell>
          <cell r="C88">
            <v>0</v>
          </cell>
          <cell r="D88">
            <v>0</v>
          </cell>
          <cell r="E88">
            <v>0</v>
          </cell>
          <cell r="F88">
            <v>-2803.5899999999638</v>
          </cell>
        </row>
        <row r="89">
          <cell r="B89" t="str">
            <v>Net Margin</v>
          </cell>
          <cell r="C89" t="e">
            <v>#DIV/0!</v>
          </cell>
          <cell r="D89" t="e">
            <v>#DIV/0!</v>
          </cell>
          <cell r="E89" t="e">
            <v>#DIV/0!</v>
          </cell>
          <cell r="F89">
            <v>-6.7399964030465005E-3</v>
          </cell>
        </row>
      </sheetData>
      <sheetData sheetId="12">
        <row r="58">
          <cell r="G58">
            <v>0</v>
          </cell>
        </row>
        <row r="70">
          <cell r="G70">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20">
          <cell r="A20" t="str">
            <v>Private Client Services</v>
          </cell>
          <cell r="B20">
            <v>10141983.359999999</v>
          </cell>
          <cell r="C20">
            <v>802</v>
          </cell>
          <cell r="D20">
            <v>12645.864538653366</v>
          </cell>
        </row>
        <row r="21">
          <cell r="A21" t="str">
            <v>MMA Southwest</v>
          </cell>
          <cell r="B21">
            <v>18349134.120000001</v>
          </cell>
          <cell r="C21">
            <v>1466</v>
          </cell>
          <cell r="D21">
            <v>12516.462564802183</v>
          </cell>
        </row>
        <row r="22">
          <cell r="A22" t="str">
            <v>MMA Northeast</v>
          </cell>
          <cell r="B22">
            <v>7173222.6699999999</v>
          </cell>
          <cell r="C22">
            <v>637</v>
          </cell>
          <cell r="D22">
            <v>11260.946106750393</v>
          </cell>
        </row>
        <row r="23">
          <cell r="A23" t="str">
            <v>MMA East</v>
          </cell>
          <cell r="B23">
            <v>10599800.810000001</v>
          </cell>
          <cell r="C23">
            <v>712</v>
          </cell>
          <cell r="D23">
            <v>14887.360688202249</v>
          </cell>
        </row>
        <row r="24">
          <cell r="A24" t="str">
            <v>MMA Upper Midwest</v>
          </cell>
          <cell r="B24">
            <v>16990880.149999999</v>
          </cell>
          <cell r="C24">
            <v>1590</v>
          </cell>
          <cell r="D24">
            <v>10686.088144654088</v>
          </cell>
        </row>
        <row r="25">
          <cell r="A25" t="str">
            <v>MMA Florida</v>
          </cell>
          <cell r="B25">
            <v>8880895.8300000001</v>
          </cell>
          <cell r="C25">
            <v>902</v>
          </cell>
          <cell r="D25">
            <v>9845.7825166297116</v>
          </cell>
        </row>
        <row r="26">
          <cell r="A26" t="str">
            <v>MMA Mid Atlantic</v>
          </cell>
          <cell r="B26">
            <v>19700308.48</v>
          </cell>
          <cell r="C26">
            <v>1692</v>
          </cell>
          <cell r="D26">
            <v>11643.208321513002</v>
          </cell>
        </row>
        <row r="27">
          <cell r="A27" t="str">
            <v>MMA West</v>
          </cell>
          <cell r="B27">
            <v>24326554.539999999</v>
          </cell>
          <cell r="C27">
            <v>2104</v>
          </cell>
          <cell r="D27">
            <v>11562.050636882128</v>
          </cell>
        </row>
        <row r="28">
          <cell r="A28" t="str">
            <v>MMA Midwest</v>
          </cell>
          <cell r="B28">
            <v>16454227.98</v>
          </cell>
          <cell r="C28">
            <v>1503</v>
          </cell>
          <cell r="D28">
            <v>10947.59013972056</v>
          </cell>
        </row>
        <row r="29">
          <cell r="A29" t="str">
            <v>MMA Canada</v>
          </cell>
          <cell r="B29">
            <v>264570.50880000001</v>
          </cell>
          <cell r="C29">
            <v>89</v>
          </cell>
          <cell r="D29">
            <v>2972.7023460674159</v>
          </cell>
        </row>
        <row r="30">
          <cell r="A30" t="str">
            <v>MMA Southeast</v>
          </cell>
          <cell r="B30">
            <v>19659717.5</v>
          </cell>
          <cell r="C30">
            <v>1589</v>
          </cell>
          <cell r="D30">
            <v>12372.383574575204</v>
          </cell>
        </row>
        <row r="31">
          <cell r="A31" t="str">
            <v>MMA Northwest</v>
          </cell>
          <cell r="B31">
            <v>8299146.8500000006</v>
          </cell>
          <cell r="C31">
            <v>734</v>
          </cell>
          <cell r="D31">
            <v>11306.739577656677</v>
          </cell>
        </row>
      </sheetData>
      <sheetData sheetId="35" refreshError="1"/>
      <sheetData sheetId="3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9A5F-444D-4B04-8A38-A231AE76FAB6}">
  <sheetPr>
    <tabColor rgb="FF002060"/>
  </sheetPr>
  <dimension ref="A5:A7"/>
  <sheetViews>
    <sheetView showGridLines="0" zoomScale="96" workbookViewId="0">
      <selection activeCell="I15" sqref="I15"/>
    </sheetView>
  </sheetViews>
  <sheetFormatPr defaultRowHeight="15.5" x14ac:dyDescent="0.35"/>
  <sheetData>
    <row r="5" spans="1:1" ht="33.5" x14ac:dyDescent="0.75">
      <c r="A5" s="171" t="s">
        <v>177</v>
      </c>
    </row>
    <row r="7" spans="1:1" ht="18.5" x14ac:dyDescent="0.45">
      <c r="A7" s="172"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4026-FBAD-41F9-8EDD-9FF704333EA9}">
  <dimension ref="A1:F128"/>
  <sheetViews>
    <sheetView showGridLines="0" workbookViewId="0">
      <selection activeCell="D128" sqref="D128"/>
    </sheetView>
  </sheetViews>
  <sheetFormatPr defaultRowHeight="15.5" outlineLevelRow="1" x14ac:dyDescent="0.35"/>
  <cols>
    <col min="1" max="1" width="4.1640625" customWidth="1"/>
    <col min="2" max="2" width="51.4140625" customWidth="1"/>
    <col min="3" max="3" width="13.25" customWidth="1"/>
    <col min="4" max="4" width="16.25" customWidth="1"/>
    <col min="5" max="5" width="11.75" customWidth="1"/>
    <col min="6" max="6" width="48.83203125" customWidth="1"/>
  </cols>
  <sheetData>
    <row r="1" spans="1:6" ht="18.5" x14ac:dyDescent="0.45">
      <c r="A1" s="12" t="s">
        <v>180</v>
      </c>
      <c r="B1" s="12"/>
    </row>
    <row r="2" spans="1:6" ht="18.5" x14ac:dyDescent="0.45">
      <c r="A2" s="12" t="s">
        <v>678</v>
      </c>
      <c r="B2" s="12"/>
    </row>
    <row r="4" spans="1:6" x14ac:dyDescent="0.35">
      <c r="B4" s="306" t="s">
        <v>679</v>
      </c>
      <c r="C4" s="307" t="s">
        <v>192</v>
      </c>
      <c r="D4" s="307" t="s">
        <v>680</v>
      </c>
      <c r="E4" s="308" t="s">
        <v>686</v>
      </c>
      <c r="F4" s="309" t="s">
        <v>687</v>
      </c>
    </row>
    <row r="5" spans="1:6" x14ac:dyDescent="0.35">
      <c r="A5">
        <v>1</v>
      </c>
      <c r="B5" t="s">
        <v>464</v>
      </c>
      <c r="C5" s="297">
        <v>606033.06000000006</v>
      </c>
      <c r="D5" s="297">
        <v>75754.132500000007</v>
      </c>
      <c r="E5" s="303">
        <f>D5/$D$128</f>
        <v>0.17048340074705007</v>
      </c>
    </row>
    <row r="6" spans="1:6" x14ac:dyDescent="0.35">
      <c r="A6">
        <v>2</v>
      </c>
      <c r="B6" t="s">
        <v>650</v>
      </c>
      <c r="C6" s="297">
        <v>309863</v>
      </c>
      <c r="D6" s="297">
        <v>38732.875</v>
      </c>
      <c r="E6" s="303">
        <f t="shared" ref="E6:E69" si="0">D6/$D$128</f>
        <v>8.7167683567763068E-2</v>
      </c>
    </row>
    <row r="7" spans="1:6" x14ac:dyDescent="0.35">
      <c r="A7">
        <v>3</v>
      </c>
      <c r="B7" t="s">
        <v>636</v>
      </c>
      <c r="C7" s="297">
        <v>219003</v>
      </c>
      <c r="D7" s="297">
        <v>26877.1</v>
      </c>
      <c r="E7" s="303">
        <f t="shared" si="0"/>
        <v>6.0486461385041122E-2</v>
      </c>
    </row>
    <row r="8" spans="1:6" x14ac:dyDescent="0.35">
      <c r="A8">
        <v>4</v>
      </c>
      <c r="B8" t="s">
        <v>681</v>
      </c>
      <c r="C8" s="297">
        <v>129085.79000000001</v>
      </c>
      <c r="D8" s="297">
        <v>16135.723750000001</v>
      </c>
      <c r="E8" s="303">
        <f t="shared" si="0"/>
        <v>3.6313174841186957E-2</v>
      </c>
    </row>
    <row r="9" spans="1:6" x14ac:dyDescent="0.35">
      <c r="A9">
        <v>5</v>
      </c>
      <c r="B9" t="s">
        <v>621</v>
      </c>
      <c r="C9" s="297">
        <v>93073</v>
      </c>
      <c r="D9" s="297">
        <v>13745.875</v>
      </c>
      <c r="E9" s="303">
        <f t="shared" si="0"/>
        <v>3.0934860434760528E-2</v>
      </c>
    </row>
    <row r="10" spans="1:6" x14ac:dyDescent="0.35">
      <c r="A10">
        <v>6</v>
      </c>
      <c r="B10" t="s">
        <v>656</v>
      </c>
      <c r="C10" s="297">
        <v>108029</v>
      </c>
      <c r="D10" s="297">
        <v>13477.005000000001</v>
      </c>
      <c r="E10" s="303">
        <f t="shared" si="0"/>
        <v>3.0329773023075639E-2</v>
      </c>
    </row>
    <row r="11" spans="1:6" x14ac:dyDescent="0.35">
      <c r="A11">
        <v>7</v>
      </c>
      <c r="B11" t="s">
        <v>601</v>
      </c>
      <c r="C11" s="297">
        <v>108524</v>
      </c>
      <c r="D11" s="297">
        <v>13442.475</v>
      </c>
      <c r="E11" s="303">
        <f t="shared" si="0"/>
        <v>3.0252063838988607E-2</v>
      </c>
    </row>
    <row r="12" spans="1:6" x14ac:dyDescent="0.35">
      <c r="A12">
        <v>8</v>
      </c>
      <c r="B12" t="s">
        <v>454</v>
      </c>
      <c r="C12" s="297">
        <v>106777</v>
      </c>
      <c r="D12" s="297">
        <v>12813.24</v>
      </c>
      <c r="E12" s="303">
        <f t="shared" si="0"/>
        <v>2.8835981057378376E-2</v>
      </c>
    </row>
    <row r="13" spans="1:6" x14ac:dyDescent="0.35">
      <c r="A13">
        <v>9</v>
      </c>
      <c r="B13" t="s">
        <v>459</v>
      </c>
      <c r="C13" s="297">
        <v>52019</v>
      </c>
      <c r="D13" s="297">
        <v>12487.2</v>
      </c>
      <c r="E13" s="303">
        <f t="shared" si="0"/>
        <v>2.8102233522488869E-2</v>
      </c>
    </row>
    <row r="14" spans="1:6" x14ac:dyDescent="0.35">
      <c r="A14">
        <v>10</v>
      </c>
      <c r="B14" t="s">
        <v>540</v>
      </c>
      <c r="C14" s="297">
        <v>95578</v>
      </c>
      <c r="D14" s="297">
        <v>11947.25</v>
      </c>
      <c r="E14" s="303">
        <f t="shared" si="0"/>
        <v>2.6887085131298859E-2</v>
      </c>
    </row>
    <row r="15" spans="1:6" x14ac:dyDescent="0.35">
      <c r="A15">
        <v>11</v>
      </c>
      <c r="B15" t="s">
        <v>682</v>
      </c>
      <c r="C15" s="297">
        <v>93392</v>
      </c>
      <c r="D15" s="297">
        <v>11674</v>
      </c>
      <c r="E15" s="303">
        <f t="shared" si="0"/>
        <v>2.6272140603300582E-2</v>
      </c>
    </row>
    <row r="16" spans="1:6" x14ac:dyDescent="0.35">
      <c r="A16">
        <v>12</v>
      </c>
      <c r="B16" t="s">
        <v>655</v>
      </c>
      <c r="C16" s="297">
        <v>88594</v>
      </c>
      <c r="D16" s="297">
        <v>11074.25</v>
      </c>
      <c r="E16" s="303">
        <f t="shared" si="0"/>
        <v>2.4922413318151575E-2</v>
      </c>
    </row>
    <row r="17" spans="1:5" x14ac:dyDescent="0.35">
      <c r="A17">
        <v>13</v>
      </c>
      <c r="B17" t="s">
        <v>425</v>
      </c>
      <c r="C17" s="297">
        <v>100000</v>
      </c>
      <c r="D17" s="297">
        <v>10000</v>
      </c>
      <c r="E17" s="303">
        <f t="shared" si="0"/>
        <v>2.2504831765719189E-2</v>
      </c>
    </row>
    <row r="18" spans="1:5" x14ac:dyDescent="0.35">
      <c r="A18">
        <v>14</v>
      </c>
      <c r="B18" t="s">
        <v>630</v>
      </c>
      <c r="C18" s="297">
        <v>78194</v>
      </c>
      <c r="D18" s="297">
        <v>9774.25</v>
      </c>
      <c r="E18" s="303">
        <f t="shared" si="0"/>
        <v>2.1996785188608078E-2</v>
      </c>
    </row>
    <row r="19" spans="1:5" x14ac:dyDescent="0.35">
      <c r="A19">
        <v>15</v>
      </c>
      <c r="B19" s="300" t="s">
        <v>590</v>
      </c>
      <c r="C19" s="301">
        <v>80906</v>
      </c>
      <c r="D19" s="301">
        <v>9745.2549999999992</v>
      </c>
      <c r="E19" s="304">
        <f t="shared" si="0"/>
        <v>2.1931532428903375E-2</v>
      </c>
    </row>
    <row r="20" spans="1:5" hidden="1" outlineLevel="1" x14ac:dyDescent="0.35">
      <c r="A20">
        <v>16</v>
      </c>
      <c r="B20" t="s">
        <v>494</v>
      </c>
      <c r="C20" s="297">
        <v>74485</v>
      </c>
      <c r="D20" s="297">
        <v>9310.625</v>
      </c>
      <c r="E20" s="303">
        <f t="shared" si="0"/>
        <v>2.0953404925869924E-2</v>
      </c>
    </row>
    <row r="21" spans="1:5" hidden="1" outlineLevel="1" x14ac:dyDescent="0.35">
      <c r="A21">
        <v>17</v>
      </c>
      <c r="B21" t="s">
        <v>626</v>
      </c>
      <c r="C21" s="297">
        <v>74436</v>
      </c>
      <c r="D21" s="297">
        <v>9304.5</v>
      </c>
      <c r="E21" s="303">
        <f t="shared" si="0"/>
        <v>2.0939620716413421E-2</v>
      </c>
    </row>
    <row r="22" spans="1:5" hidden="1" outlineLevel="1" x14ac:dyDescent="0.35">
      <c r="A22">
        <v>18</v>
      </c>
      <c r="B22" t="s">
        <v>502</v>
      </c>
      <c r="C22" s="297">
        <v>68140</v>
      </c>
      <c r="D22" s="297">
        <v>8517.5</v>
      </c>
      <c r="E22" s="303">
        <f t="shared" si="0"/>
        <v>1.9168490456451321E-2</v>
      </c>
    </row>
    <row r="23" spans="1:5" hidden="1" outlineLevel="1" x14ac:dyDescent="0.35">
      <c r="A23">
        <v>19</v>
      </c>
      <c r="B23" t="s">
        <v>518</v>
      </c>
      <c r="C23" s="297">
        <v>61161</v>
      </c>
      <c r="D23" s="297">
        <v>7636.2</v>
      </c>
      <c r="E23" s="303">
        <f t="shared" si="0"/>
        <v>1.7185139632938488E-2</v>
      </c>
    </row>
    <row r="24" spans="1:5" hidden="1" outlineLevel="1" x14ac:dyDescent="0.35">
      <c r="A24">
        <v>20</v>
      </c>
      <c r="B24" t="s">
        <v>440</v>
      </c>
      <c r="C24" s="297">
        <v>52673.66</v>
      </c>
      <c r="D24" s="297">
        <v>6142.9309000000003</v>
      </c>
      <c r="E24" s="303">
        <f t="shared" si="0"/>
        <v>1.3824562645293798E-2</v>
      </c>
    </row>
    <row r="25" spans="1:5" hidden="1" outlineLevel="1" x14ac:dyDescent="0.35">
      <c r="A25">
        <v>21</v>
      </c>
      <c r="B25" t="s">
        <v>496</v>
      </c>
      <c r="C25" s="297"/>
      <c r="D25" s="297">
        <v>5000</v>
      </c>
      <c r="E25" s="303">
        <f t="shared" si="0"/>
        <v>1.1252415882859594E-2</v>
      </c>
    </row>
    <row r="26" spans="1:5" hidden="1" outlineLevel="1" x14ac:dyDescent="0.35">
      <c r="A26">
        <v>22</v>
      </c>
      <c r="B26" t="s">
        <v>551</v>
      </c>
      <c r="C26" s="297">
        <v>38057</v>
      </c>
      <c r="D26" s="297">
        <v>4757.1350000000002</v>
      </c>
      <c r="E26" s="303">
        <f t="shared" si="0"/>
        <v>1.0705852286181457E-2</v>
      </c>
    </row>
    <row r="27" spans="1:5" hidden="1" outlineLevel="1" x14ac:dyDescent="0.35">
      <c r="A27">
        <v>23</v>
      </c>
      <c r="B27" t="s">
        <v>613</v>
      </c>
      <c r="C27" s="297">
        <v>44677</v>
      </c>
      <c r="D27" s="297">
        <v>4740.7100000000009</v>
      </c>
      <c r="E27" s="303">
        <f t="shared" si="0"/>
        <v>1.0668888100006265E-2</v>
      </c>
    </row>
    <row r="28" spans="1:5" hidden="1" outlineLevel="1" x14ac:dyDescent="0.35">
      <c r="A28">
        <v>24</v>
      </c>
      <c r="B28" t="s">
        <v>466</v>
      </c>
      <c r="C28" s="297">
        <v>47379.57</v>
      </c>
      <c r="D28" s="297">
        <v>4737.9570000000003</v>
      </c>
      <c r="E28" s="303">
        <f t="shared" si="0"/>
        <v>1.0662692519821161E-2</v>
      </c>
    </row>
    <row r="29" spans="1:5" hidden="1" outlineLevel="1" x14ac:dyDescent="0.35">
      <c r="A29">
        <v>25</v>
      </c>
      <c r="B29" t="s">
        <v>458</v>
      </c>
      <c r="C29" s="297">
        <v>13295</v>
      </c>
      <c r="D29" s="297">
        <v>4661.875</v>
      </c>
      <c r="E29" s="303">
        <f t="shared" si="0"/>
        <v>1.0491471258781216E-2</v>
      </c>
    </row>
    <row r="30" spans="1:5" hidden="1" outlineLevel="1" x14ac:dyDescent="0.35">
      <c r="A30">
        <v>26</v>
      </c>
      <c r="B30" t="s">
        <v>594</v>
      </c>
      <c r="C30" s="297">
        <v>36200</v>
      </c>
      <c r="D30" s="297">
        <v>4525</v>
      </c>
      <c r="E30" s="303">
        <f t="shared" si="0"/>
        <v>1.0183436373987933E-2</v>
      </c>
    </row>
    <row r="31" spans="1:5" hidden="1" outlineLevel="1" x14ac:dyDescent="0.35">
      <c r="A31">
        <v>27</v>
      </c>
      <c r="B31" t="s">
        <v>612</v>
      </c>
      <c r="C31" s="297">
        <v>35469</v>
      </c>
      <c r="D31" s="297">
        <v>4433.625</v>
      </c>
      <c r="E31" s="303">
        <f t="shared" si="0"/>
        <v>9.9777984737286739E-3</v>
      </c>
    </row>
    <row r="32" spans="1:5" hidden="1" outlineLevel="1" x14ac:dyDescent="0.35">
      <c r="A32">
        <v>28</v>
      </c>
      <c r="B32" t="s">
        <v>557</v>
      </c>
      <c r="C32" s="297">
        <v>96034</v>
      </c>
      <c r="D32" s="297">
        <v>4393.5</v>
      </c>
      <c r="E32" s="303">
        <f t="shared" si="0"/>
        <v>9.8874978362687264E-3</v>
      </c>
    </row>
    <row r="33" spans="1:5" hidden="1" outlineLevel="1" x14ac:dyDescent="0.35">
      <c r="A33">
        <v>29</v>
      </c>
      <c r="B33" t="s">
        <v>574</v>
      </c>
      <c r="C33" s="297">
        <v>29782</v>
      </c>
      <c r="D33" s="297">
        <v>3722.75</v>
      </c>
      <c r="E33" s="303">
        <f t="shared" si="0"/>
        <v>8.3779862455831116E-3</v>
      </c>
    </row>
    <row r="34" spans="1:5" hidden="1" outlineLevel="1" x14ac:dyDescent="0.35">
      <c r="A34">
        <v>30</v>
      </c>
      <c r="B34" t="s">
        <v>478</v>
      </c>
      <c r="C34" s="297">
        <v>29665</v>
      </c>
      <c r="D34" s="297">
        <v>3677.7750000000001</v>
      </c>
      <c r="E34" s="303">
        <f t="shared" si="0"/>
        <v>8.2767707647167892E-3</v>
      </c>
    </row>
    <row r="35" spans="1:5" hidden="1" outlineLevel="1" x14ac:dyDescent="0.35">
      <c r="A35">
        <v>31</v>
      </c>
      <c r="B35" t="s">
        <v>561</v>
      </c>
      <c r="C35" s="297">
        <v>28000</v>
      </c>
      <c r="D35" s="297">
        <v>3500</v>
      </c>
      <c r="E35" s="303">
        <f t="shared" si="0"/>
        <v>7.8766911180017159E-3</v>
      </c>
    </row>
    <row r="36" spans="1:5" hidden="1" outlineLevel="1" x14ac:dyDescent="0.35">
      <c r="A36">
        <v>32</v>
      </c>
      <c r="B36" t="s">
        <v>507</v>
      </c>
      <c r="C36" s="297">
        <v>26623</v>
      </c>
      <c r="D36" s="297">
        <v>3327.8850000000002</v>
      </c>
      <c r="E36" s="303">
        <f t="shared" si="0"/>
        <v>7.4893492060660411E-3</v>
      </c>
    </row>
    <row r="37" spans="1:5" hidden="1" outlineLevel="1" x14ac:dyDescent="0.35">
      <c r="A37">
        <v>33</v>
      </c>
      <c r="B37" t="s">
        <v>559</v>
      </c>
      <c r="C37" s="297">
        <v>25000</v>
      </c>
      <c r="D37" s="297">
        <v>3125</v>
      </c>
      <c r="E37" s="303">
        <f t="shared" si="0"/>
        <v>7.0327599267872472E-3</v>
      </c>
    </row>
    <row r="38" spans="1:5" hidden="1" outlineLevel="1" x14ac:dyDescent="0.35">
      <c r="A38">
        <v>34</v>
      </c>
      <c r="B38" t="s">
        <v>517</v>
      </c>
      <c r="C38" s="297">
        <v>24814</v>
      </c>
      <c r="D38" s="297">
        <v>3101.75</v>
      </c>
      <c r="E38" s="303">
        <f t="shared" si="0"/>
        <v>6.9804361929319495E-3</v>
      </c>
    </row>
    <row r="39" spans="1:5" hidden="1" outlineLevel="1" x14ac:dyDescent="0.35">
      <c r="A39">
        <v>35</v>
      </c>
      <c r="B39" t="s">
        <v>565</v>
      </c>
      <c r="C39" s="297">
        <v>24237</v>
      </c>
      <c r="D39" s="297">
        <v>3029.625</v>
      </c>
      <c r="E39" s="303">
        <f t="shared" si="0"/>
        <v>6.8181200938217E-3</v>
      </c>
    </row>
    <row r="40" spans="1:5" hidden="1" outlineLevel="1" x14ac:dyDescent="0.35">
      <c r="A40">
        <v>36</v>
      </c>
      <c r="B40" t="s">
        <v>586</v>
      </c>
      <c r="C40" s="297">
        <v>56815</v>
      </c>
      <c r="D40" s="297">
        <v>2925</v>
      </c>
      <c r="E40" s="303">
        <f t="shared" si="0"/>
        <v>6.5826632914728631E-3</v>
      </c>
    </row>
    <row r="41" spans="1:5" hidden="1" outlineLevel="1" x14ac:dyDescent="0.35">
      <c r="A41">
        <v>37</v>
      </c>
      <c r="B41" t="s">
        <v>434</v>
      </c>
      <c r="C41" s="297">
        <v>23129.46</v>
      </c>
      <c r="D41" s="297">
        <v>2891.1824999999999</v>
      </c>
      <c r="E41" s="303">
        <f t="shared" si="0"/>
        <v>6.5065575766491421E-3</v>
      </c>
    </row>
    <row r="42" spans="1:5" hidden="1" outlineLevel="1" x14ac:dyDescent="0.35">
      <c r="A42">
        <v>38</v>
      </c>
      <c r="B42" t="s">
        <v>470</v>
      </c>
      <c r="C42" s="297">
        <v>20900</v>
      </c>
      <c r="D42" s="297">
        <v>2612.5</v>
      </c>
      <c r="E42" s="303">
        <f t="shared" si="0"/>
        <v>5.8793872987941385E-3</v>
      </c>
    </row>
    <row r="43" spans="1:5" hidden="1" outlineLevel="1" x14ac:dyDescent="0.35">
      <c r="A43">
        <v>39</v>
      </c>
      <c r="B43" t="s">
        <v>618</v>
      </c>
      <c r="C43" s="297">
        <v>24084</v>
      </c>
      <c r="D43" s="297">
        <v>2612.4500000000003</v>
      </c>
      <c r="E43" s="303">
        <f t="shared" si="0"/>
        <v>5.8792747746353102E-3</v>
      </c>
    </row>
    <row r="44" spans="1:5" hidden="1" outlineLevel="1" x14ac:dyDescent="0.35">
      <c r="A44">
        <v>40</v>
      </c>
      <c r="B44" t="s">
        <v>491</v>
      </c>
      <c r="C44" s="297">
        <v>20673</v>
      </c>
      <c r="D44" s="297">
        <v>2584.125</v>
      </c>
      <c r="E44" s="303">
        <f t="shared" si="0"/>
        <v>5.8155298386589104E-3</v>
      </c>
    </row>
    <row r="45" spans="1:5" hidden="1" outlineLevel="1" x14ac:dyDescent="0.35">
      <c r="A45">
        <v>41</v>
      </c>
      <c r="B45" t="s">
        <v>657</v>
      </c>
      <c r="C45" s="297">
        <v>19797</v>
      </c>
      <c r="D45" s="297">
        <v>2403.7749999999996</v>
      </c>
      <c r="E45" s="303">
        <f t="shared" si="0"/>
        <v>5.4096551977641637E-3</v>
      </c>
    </row>
    <row r="46" spans="1:5" hidden="1" outlineLevel="1" x14ac:dyDescent="0.35">
      <c r="A46">
        <v>42</v>
      </c>
      <c r="B46" t="s">
        <v>476</v>
      </c>
      <c r="C46" s="297">
        <v>57125</v>
      </c>
      <c r="D46" s="297">
        <v>2275.3000000000002</v>
      </c>
      <c r="E46" s="303">
        <f t="shared" si="0"/>
        <v>5.1205243716540881E-3</v>
      </c>
    </row>
    <row r="47" spans="1:5" hidden="1" outlineLevel="1" x14ac:dyDescent="0.35">
      <c r="A47">
        <v>43</v>
      </c>
      <c r="B47" t="s">
        <v>527</v>
      </c>
      <c r="C47" s="297">
        <v>17077</v>
      </c>
      <c r="D47" s="297">
        <v>2134.63</v>
      </c>
      <c r="E47" s="303">
        <f t="shared" si="0"/>
        <v>4.8039489032057157E-3</v>
      </c>
    </row>
    <row r="48" spans="1:5" hidden="1" outlineLevel="1" x14ac:dyDescent="0.35">
      <c r="A48">
        <v>44</v>
      </c>
      <c r="B48" t="s">
        <v>505</v>
      </c>
      <c r="C48" s="297">
        <v>16949</v>
      </c>
      <c r="D48" s="297">
        <v>2118.625</v>
      </c>
      <c r="E48" s="303">
        <f t="shared" si="0"/>
        <v>4.7679299199646823E-3</v>
      </c>
    </row>
    <row r="49" spans="1:5" hidden="1" outlineLevel="1" x14ac:dyDescent="0.35">
      <c r="A49">
        <v>45</v>
      </c>
      <c r="B49" t="s">
        <v>500</v>
      </c>
      <c r="C49" s="297">
        <v>16221</v>
      </c>
      <c r="D49" s="297">
        <v>2027.625</v>
      </c>
      <c r="E49" s="303">
        <f t="shared" si="0"/>
        <v>4.5631359508966378E-3</v>
      </c>
    </row>
    <row r="50" spans="1:5" hidden="1" outlineLevel="1" x14ac:dyDescent="0.35">
      <c r="A50">
        <v>46</v>
      </c>
      <c r="B50" t="s">
        <v>493</v>
      </c>
      <c r="C50" s="297">
        <v>15000</v>
      </c>
      <c r="D50" s="297">
        <v>1875</v>
      </c>
      <c r="E50" s="303">
        <f t="shared" si="0"/>
        <v>4.2196559560723481E-3</v>
      </c>
    </row>
    <row r="51" spans="1:5" hidden="1" outlineLevel="1" x14ac:dyDescent="0.35">
      <c r="A51">
        <v>47</v>
      </c>
      <c r="B51" t="s">
        <v>451</v>
      </c>
      <c r="C51" s="297">
        <v>15747</v>
      </c>
      <c r="D51" s="297">
        <v>1769.6399999999999</v>
      </c>
      <c r="E51" s="303">
        <f t="shared" si="0"/>
        <v>3.9825450485887308E-3</v>
      </c>
    </row>
    <row r="52" spans="1:5" hidden="1" outlineLevel="1" x14ac:dyDescent="0.35">
      <c r="A52">
        <v>48</v>
      </c>
      <c r="B52" t="s">
        <v>552</v>
      </c>
      <c r="C52" s="297">
        <v>32625</v>
      </c>
      <c r="D52" s="297">
        <v>1646.13</v>
      </c>
      <c r="E52" s="303">
        <f t="shared" si="0"/>
        <v>3.7045878714503334E-3</v>
      </c>
    </row>
    <row r="53" spans="1:5" hidden="1" outlineLevel="1" x14ac:dyDescent="0.35">
      <c r="A53">
        <v>49</v>
      </c>
      <c r="B53" t="s">
        <v>643</v>
      </c>
      <c r="C53" s="297">
        <v>13050</v>
      </c>
      <c r="D53" s="297">
        <v>1631.25</v>
      </c>
      <c r="E53" s="303">
        <f t="shared" si="0"/>
        <v>3.6711006817829431E-3</v>
      </c>
    </row>
    <row r="54" spans="1:5" hidden="1" outlineLevel="1" x14ac:dyDescent="0.35">
      <c r="A54">
        <v>50</v>
      </c>
      <c r="B54" t="s">
        <v>644</v>
      </c>
      <c r="C54" s="297">
        <v>13050</v>
      </c>
      <c r="D54" s="297">
        <v>1631.25</v>
      </c>
      <c r="E54" s="303">
        <f t="shared" si="0"/>
        <v>3.6711006817829431E-3</v>
      </c>
    </row>
    <row r="55" spans="1:5" hidden="1" outlineLevel="1" x14ac:dyDescent="0.35">
      <c r="A55">
        <v>51</v>
      </c>
      <c r="B55" t="s">
        <v>447</v>
      </c>
      <c r="C55" s="297">
        <v>12103.89</v>
      </c>
      <c r="D55" s="297">
        <v>1402.1112499999999</v>
      </c>
      <c r="E55" s="303">
        <f t="shared" si="0"/>
        <v>3.1554277798072241E-3</v>
      </c>
    </row>
    <row r="56" spans="1:5" hidden="1" outlineLevel="1" x14ac:dyDescent="0.35">
      <c r="A56">
        <v>52</v>
      </c>
      <c r="B56" t="s">
        <v>588</v>
      </c>
      <c r="C56" s="297">
        <v>11092</v>
      </c>
      <c r="D56" s="297">
        <v>1331.04</v>
      </c>
      <c r="E56" s="303">
        <f t="shared" si="0"/>
        <v>2.9954831273442872E-3</v>
      </c>
    </row>
    <row r="57" spans="1:5" hidden="1" outlineLevel="1" x14ac:dyDescent="0.35">
      <c r="A57">
        <v>53</v>
      </c>
      <c r="B57" t="s">
        <v>568</v>
      </c>
      <c r="C57" s="297">
        <v>9998</v>
      </c>
      <c r="D57" s="297">
        <v>1249.75</v>
      </c>
      <c r="E57" s="303">
        <f t="shared" si="0"/>
        <v>2.812541349920756E-3</v>
      </c>
    </row>
    <row r="58" spans="1:5" hidden="1" outlineLevel="1" x14ac:dyDescent="0.35">
      <c r="A58">
        <v>54</v>
      </c>
      <c r="B58" t="s">
        <v>547</v>
      </c>
      <c r="C58" s="297">
        <v>9224</v>
      </c>
      <c r="D58" s="297">
        <v>1153</v>
      </c>
      <c r="E58" s="303">
        <f t="shared" si="0"/>
        <v>2.5948071025874227E-3</v>
      </c>
    </row>
    <row r="59" spans="1:5" hidden="1" outlineLevel="1" x14ac:dyDescent="0.35">
      <c r="A59">
        <v>55</v>
      </c>
      <c r="B59" t="s">
        <v>589</v>
      </c>
      <c r="C59" s="297">
        <v>8390.2999999999993</v>
      </c>
      <c r="D59" s="297">
        <v>1006.8359999999999</v>
      </c>
      <c r="E59" s="303">
        <f t="shared" si="0"/>
        <v>2.2658674795669647E-3</v>
      </c>
    </row>
    <row r="60" spans="1:5" hidden="1" outlineLevel="1" x14ac:dyDescent="0.35">
      <c r="A60">
        <v>56</v>
      </c>
      <c r="B60" t="s">
        <v>581</v>
      </c>
      <c r="C60" s="297">
        <v>12126</v>
      </c>
      <c r="D60" s="297">
        <v>981.375</v>
      </c>
      <c r="E60" s="303">
        <f t="shared" si="0"/>
        <v>2.2085679274082672E-3</v>
      </c>
    </row>
    <row r="61" spans="1:5" hidden="1" outlineLevel="1" x14ac:dyDescent="0.35">
      <c r="A61">
        <v>57</v>
      </c>
      <c r="B61" t="s">
        <v>627</v>
      </c>
      <c r="C61" s="297">
        <v>8907</v>
      </c>
      <c r="D61" s="297">
        <v>890.7</v>
      </c>
      <c r="E61" s="303">
        <f t="shared" si="0"/>
        <v>2.0045053653726082E-3</v>
      </c>
    </row>
    <row r="62" spans="1:5" hidden="1" outlineLevel="1" x14ac:dyDescent="0.35">
      <c r="A62">
        <v>58</v>
      </c>
      <c r="B62" t="s">
        <v>542</v>
      </c>
      <c r="C62" s="297">
        <v>6865</v>
      </c>
      <c r="D62" s="297">
        <v>858.125</v>
      </c>
      <c r="E62" s="303">
        <f t="shared" si="0"/>
        <v>1.9311958758957781E-3</v>
      </c>
    </row>
    <row r="63" spans="1:5" hidden="1" outlineLevel="1" x14ac:dyDescent="0.35">
      <c r="A63">
        <v>59</v>
      </c>
      <c r="B63" t="s">
        <v>607</v>
      </c>
      <c r="C63" s="297">
        <v>6250</v>
      </c>
      <c r="D63" s="297">
        <v>781.25</v>
      </c>
      <c r="E63" s="303">
        <f t="shared" si="0"/>
        <v>1.7581899816968118E-3</v>
      </c>
    </row>
    <row r="64" spans="1:5" hidden="1" outlineLevel="1" x14ac:dyDescent="0.35">
      <c r="A64">
        <v>60</v>
      </c>
      <c r="B64" t="s">
        <v>632</v>
      </c>
      <c r="C64" s="297">
        <v>5953</v>
      </c>
      <c r="D64" s="297">
        <v>744.13</v>
      </c>
      <c r="E64" s="303">
        <f t="shared" si="0"/>
        <v>1.6746520461824621E-3</v>
      </c>
    </row>
    <row r="65" spans="1:5" hidden="1" outlineLevel="1" x14ac:dyDescent="0.35">
      <c r="A65">
        <v>61</v>
      </c>
      <c r="B65" t="s">
        <v>490</v>
      </c>
      <c r="C65" s="297">
        <v>5780</v>
      </c>
      <c r="D65" s="297">
        <v>722.5</v>
      </c>
      <c r="E65" s="303">
        <f t="shared" si="0"/>
        <v>1.6259740950732115E-3</v>
      </c>
    </row>
    <row r="66" spans="1:5" hidden="1" outlineLevel="1" x14ac:dyDescent="0.35">
      <c r="A66">
        <v>62</v>
      </c>
      <c r="B66" t="s">
        <v>509</v>
      </c>
      <c r="C66" s="297">
        <v>9500</v>
      </c>
      <c r="D66" s="297">
        <v>718.75</v>
      </c>
      <c r="E66" s="303">
        <f t="shared" si="0"/>
        <v>1.6175347831610667E-3</v>
      </c>
    </row>
    <row r="67" spans="1:5" hidden="1" outlineLevel="1" x14ac:dyDescent="0.35">
      <c r="A67">
        <v>63</v>
      </c>
      <c r="B67" t="s">
        <v>625</v>
      </c>
      <c r="C67" s="297">
        <v>4445</v>
      </c>
      <c r="D67" s="297">
        <v>666.75</v>
      </c>
      <c r="E67" s="303">
        <f t="shared" si="0"/>
        <v>1.500509657979327E-3</v>
      </c>
    </row>
    <row r="68" spans="1:5" hidden="1" outlineLevel="1" x14ac:dyDescent="0.35">
      <c r="A68">
        <v>64</v>
      </c>
      <c r="B68" t="s">
        <v>566</v>
      </c>
      <c r="C68" s="297">
        <v>5304</v>
      </c>
      <c r="D68" s="297">
        <v>663</v>
      </c>
      <c r="E68" s="303">
        <f t="shared" si="0"/>
        <v>1.4920703460671824E-3</v>
      </c>
    </row>
    <row r="69" spans="1:5" hidden="1" outlineLevel="1" x14ac:dyDescent="0.35">
      <c r="A69">
        <v>65</v>
      </c>
      <c r="B69" t="s">
        <v>522</v>
      </c>
      <c r="C69" s="297">
        <v>5295</v>
      </c>
      <c r="D69" s="297">
        <v>661.875</v>
      </c>
      <c r="E69" s="303">
        <f t="shared" si="0"/>
        <v>1.4895385524935389E-3</v>
      </c>
    </row>
    <row r="70" spans="1:5" hidden="1" outlineLevel="1" x14ac:dyDescent="0.35">
      <c r="A70">
        <v>66</v>
      </c>
      <c r="B70" t="s">
        <v>600</v>
      </c>
      <c r="C70" s="297">
        <v>5000</v>
      </c>
      <c r="D70" s="297">
        <v>625</v>
      </c>
      <c r="E70" s="303">
        <f t="shared" ref="E70:E128" si="1">D70/$D$128</f>
        <v>1.4065519853574493E-3</v>
      </c>
    </row>
    <row r="71" spans="1:5" hidden="1" outlineLevel="1" x14ac:dyDescent="0.35">
      <c r="A71">
        <v>67</v>
      </c>
      <c r="B71" t="s">
        <v>556</v>
      </c>
      <c r="C71" s="297">
        <v>4659</v>
      </c>
      <c r="D71" s="297">
        <v>582.38</v>
      </c>
      <c r="E71" s="303">
        <f t="shared" si="1"/>
        <v>1.3106363923719542E-3</v>
      </c>
    </row>
    <row r="72" spans="1:5" hidden="1" outlineLevel="1" x14ac:dyDescent="0.35">
      <c r="A72">
        <v>68</v>
      </c>
      <c r="B72" t="s">
        <v>628</v>
      </c>
      <c r="C72" s="297">
        <v>4400</v>
      </c>
      <c r="D72" s="297">
        <v>550</v>
      </c>
      <c r="E72" s="303">
        <f t="shared" si="1"/>
        <v>1.2377657471145554E-3</v>
      </c>
    </row>
    <row r="73" spans="1:5" hidden="1" outlineLevel="1" x14ac:dyDescent="0.35">
      <c r="A73">
        <v>69</v>
      </c>
      <c r="B73" t="s">
        <v>444</v>
      </c>
      <c r="C73" s="297">
        <v>4200</v>
      </c>
      <c r="D73" s="297">
        <v>525</v>
      </c>
      <c r="E73" s="303">
        <f t="shared" si="1"/>
        <v>1.1815036677002575E-3</v>
      </c>
    </row>
    <row r="74" spans="1:5" hidden="1" outlineLevel="1" x14ac:dyDescent="0.35">
      <c r="A74">
        <v>70</v>
      </c>
      <c r="B74" t="s">
        <v>605</v>
      </c>
      <c r="C74" s="297">
        <v>4706</v>
      </c>
      <c r="D74" s="297">
        <v>470.6</v>
      </c>
      <c r="E74" s="303">
        <f t="shared" si="1"/>
        <v>1.0590773828947451E-3</v>
      </c>
    </row>
    <row r="75" spans="1:5" hidden="1" outlineLevel="1" x14ac:dyDescent="0.35">
      <c r="A75">
        <v>71</v>
      </c>
      <c r="B75" t="s">
        <v>450</v>
      </c>
      <c r="C75" s="297">
        <v>3456.6400000000003</v>
      </c>
      <c r="D75" s="297">
        <v>432.08000000000004</v>
      </c>
      <c r="E75" s="303">
        <f t="shared" si="1"/>
        <v>9.7238877093319491E-4</v>
      </c>
    </row>
    <row r="76" spans="1:5" hidden="1" outlineLevel="1" x14ac:dyDescent="0.35">
      <c r="A76">
        <v>72</v>
      </c>
      <c r="B76" t="s">
        <v>640</v>
      </c>
      <c r="C76" s="297">
        <v>10411</v>
      </c>
      <c r="D76" s="297">
        <v>418.2</v>
      </c>
      <c r="E76" s="303">
        <f t="shared" si="1"/>
        <v>9.4115206444237657E-4</v>
      </c>
    </row>
    <row r="77" spans="1:5" hidden="1" outlineLevel="1" x14ac:dyDescent="0.35">
      <c r="A77">
        <v>73</v>
      </c>
      <c r="B77" t="s">
        <v>488</v>
      </c>
      <c r="C77" s="297">
        <v>3114</v>
      </c>
      <c r="D77" s="297">
        <v>389.25</v>
      </c>
      <c r="E77" s="303">
        <f t="shared" si="1"/>
        <v>8.7600057648061947E-4</v>
      </c>
    </row>
    <row r="78" spans="1:5" hidden="1" outlineLevel="1" x14ac:dyDescent="0.35">
      <c r="A78">
        <v>74</v>
      </c>
      <c r="B78" t="s">
        <v>539</v>
      </c>
      <c r="C78" s="297">
        <v>3000</v>
      </c>
      <c r="D78" s="297">
        <v>375</v>
      </c>
      <c r="E78" s="303">
        <f t="shared" si="1"/>
        <v>8.4393119121446963E-4</v>
      </c>
    </row>
    <row r="79" spans="1:5" hidden="1" outlineLevel="1" x14ac:dyDescent="0.35">
      <c r="A79">
        <v>75</v>
      </c>
      <c r="B79" t="s">
        <v>536</v>
      </c>
      <c r="C79" s="297">
        <v>2517</v>
      </c>
      <c r="D79" s="297">
        <v>314.63</v>
      </c>
      <c r="E79" s="303">
        <f t="shared" si="1"/>
        <v>7.0806952184482286E-4</v>
      </c>
    </row>
    <row r="80" spans="1:5" hidden="1" outlineLevel="1" x14ac:dyDescent="0.35">
      <c r="A80">
        <v>76</v>
      </c>
      <c r="B80" t="s">
        <v>521</v>
      </c>
      <c r="C80" s="297">
        <v>2982</v>
      </c>
      <c r="D80" s="297">
        <v>298.2</v>
      </c>
      <c r="E80" s="303">
        <f t="shared" si="1"/>
        <v>6.7109408325374625E-4</v>
      </c>
    </row>
    <row r="81" spans="1:5" hidden="1" outlineLevel="1" x14ac:dyDescent="0.35">
      <c r="A81">
        <v>77</v>
      </c>
      <c r="B81" t="s">
        <v>554</v>
      </c>
      <c r="C81" s="297">
        <v>2257</v>
      </c>
      <c r="D81" s="297">
        <v>282.13</v>
      </c>
      <c r="E81" s="303">
        <f t="shared" si="1"/>
        <v>6.3492881860623552E-4</v>
      </c>
    </row>
    <row r="82" spans="1:5" hidden="1" outlineLevel="1" x14ac:dyDescent="0.35">
      <c r="A82">
        <v>78</v>
      </c>
      <c r="B82" t="s">
        <v>564</v>
      </c>
      <c r="C82" s="297">
        <v>2248</v>
      </c>
      <c r="D82" s="297">
        <v>281</v>
      </c>
      <c r="E82" s="303">
        <f t="shared" si="1"/>
        <v>6.3238577261670928E-4</v>
      </c>
    </row>
    <row r="83" spans="1:5" hidden="1" outlineLevel="1" x14ac:dyDescent="0.35">
      <c r="A83">
        <v>79</v>
      </c>
      <c r="B83" t="s">
        <v>591</v>
      </c>
      <c r="C83" s="297">
        <v>2206</v>
      </c>
      <c r="D83" s="297">
        <v>269.11</v>
      </c>
      <c r="E83" s="303">
        <f t="shared" si="1"/>
        <v>6.0562752764726916E-4</v>
      </c>
    </row>
    <row r="84" spans="1:5" hidden="1" outlineLevel="1" x14ac:dyDescent="0.35">
      <c r="A84">
        <v>80</v>
      </c>
      <c r="B84" t="s">
        <v>487</v>
      </c>
      <c r="C84" s="297">
        <v>1989</v>
      </c>
      <c r="D84" s="297">
        <v>248.625</v>
      </c>
      <c r="E84" s="303">
        <f t="shared" si="1"/>
        <v>5.5952637977519336E-4</v>
      </c>
    </row>
    <row r="85" spans="1:5" hidden="1" outlineLevel="1" x14ac:dyDescent="0.35">
      <c r="A85">
        <v>81</v>
      </c>
      <c r="B85" t="s">
        <v>456</v>
      </c>
      <c r="C85" s="297">
        <v>1856</v>
      </c>
      <c r="D85" s="297">
        <v>232</v>
      </c>
      <c r="E85" s="303">
        <f t="shared" si="1"/>
        <v>5.2211209696468523E-4</v>
      </c>
    </row>
    <row r="86" spans="1:5" hidden="1" outlineLevel="1" x14ac:dyDescent="0.35">
      <c r="A86">
        <v>82</v>
      </c>
      <c r="B86" t="s">
        <v>457</v>
      </c>
      <c r="C86" s="297">
        <v>1775</v>
      </c>
      <c r="D86" s="297">
        <v>221.875</v>
      </c>
      <c r="E86" s="303">
        <f t="shared" si="1"/>
        <v>4.9932595480189457E-4</v>
      </c>
    </row>
    <row r="87" spans="1:5" hidden="1" outlineLevel="1" x14ac:dyDescent="0.35">
      <c r="A87">
        <v>83</v>
      </c>
      <c r="B87" t="s">
        <v>558</v>
      </c>
      <c r="C87" s="297">
        <v>1750</v>
      </c>
      <c r="D87" s="297">
        <v>218.75</v>
      </c>
      <c r="E87" s="303">
        <f t="shared" si="1"/>
        <v>4.9229319487510725E-4</v>
      </c>
    </row>
    <row r="88" spans="1:5" hidden="1" outlineLevel="1" x14ac:dyDescent="0.35">
      <c r="A88">
        <v>84</v>
      </c>
      <c r="B88" t="s">
        <v>432</v>
      </c>
      <c r="C88" s="297">
        <v>1700</v>
      </c>
      <c r="D88" s="297">
        <v>204</v>
      </c>
      <c r="E88" s="303">
        <f t="shared" si="1"/>
        <v>4.5909856802067147E-4</v>
      </c>
    </row>
    <row r="89" spans="1:5" hidden="1" outlineLevel="1" x14ac:dyDescent="0.35">
      <c r="A89">
        <v>85</v>
      </c>
      <c r="B89" t="s">
        <v>553</v>
      </c>
      <c r="C89" s="297">
        <v>1503</v>
      </c>
      <c r="D89" s="297">
        <v>187.875</v>
      </c>
      <c r="E89" s="303">
        <f t="shared" si="1"/>
        <v>4.2280952679844927E-4</v>
      </c>
    </row>
    <row r="90" spans="1:5" hidden="1" outlineLevel="1" x14ac:dyDescent="0.35">
      <c r="A90">
        <v>86</v>
      </c>
      <c r="B90" t="s">
        <v>531</v>
      </c>
      <c r="C90" s="297">
        <v>1562</v>
      </c>
      <c r="D90" s="297">
        <v>171.82</v>
      </c>
      <c r="E90" s="303">
        <f t="shared" si="1"/>
        <v>3.8667801939858712E-4</v>
      </c>
    </row>
    <row r="91" spans="1:5" hidden="1" outlineLevel="1" x14ac:dyDescent="0.35">
      <c r="A91">
        <v>87</v>
      </c>
      <c r="B91" t="s">
        <v>580</v>
      </c>
      <c r="C91" s="297">
        <v>5907</v>
      </c>
      <c r="D91" s="297">
        <v>147.75</v>
      </c>
      <c r="E91" s="303">
        <f t="shared" si="1"/>
        <v>3.3250888933850103E-4</v>
      </c>
    </row>
    <row r="92" spans="1:5" hidden="1" outlineLevel="1" x14ac:dyDescent="0.35">
      <c r="A92">
        <v>88</v>
      </c>
      <c r="B92" t="s">
        <v>624</v>
      </c>
      <c r="C92" s="297">
        <v>1050</v>
      </c>
      <c r="D92" s="297">
        <v>131.25</v>
      </c>
      <c r="E92" s="303">
        <f t="shared" si="1"/>
        <v>2.9537591692506437E-4</v>
      </c>
    </row>
    <row r="93" spans="1:5" hidden="1" outlineLevel="1" x14ac:dyDescent="0.35">
      <c r="A93">
        <v>89</v>
      </c>
      <c r="B93" t="s">
        <v>446</v>
      </c>
      <c r="C93" s="297">
        <v>1031.75</v>
      </c>
      <c r="D93" s="297">
        <v>128.96875</v>
      </c>
      <c r="E93" s="303">
        <f t="shared" si="1"/>
        <v>2.9024200217850967E-4</v>
      </c>
    </row>
    <row r="94" spans="1:5" hidden="1" outlineLevel="1" x14ac:dyDescent="0.35">
      <c r="A94">
        <v>90</v>
      </c>
      <c r="B94" t="s">
        <v>622</v>
      </c>
      <c r="C94" s="297">
        <v>780</v>
      </c>
      <c r="D94" s="297">
        <v>97.5</v>
      </c>
      <c r="E94" s="303">
        <f t="shared" si="1"/>
        <v>2.194221097157621E-4</v>
      </c>
    </row>
    <row r="95" spans="1:5" hidden="1" outlineLevel="1" x14ac:dyDescent="0.35">
      <c r="A95">
        <v>91</v>
      </c>
      <c r="B95" t="s">
        <v>526</v>
      </c>
      <c r="C95" s="297">
        <v>3200</v>
      </c>
      <c r="D95" s="297">
        <v>87.5</v>
      </c>
      <c r="E95" s="303">
        <f t="shared" si="1"/>
        <v>1.969172779500429E-4</v>
      </c>
    </row>
    <row r="96" spans="1:5" hidden="1" outlineLevel="1" x14ac:dyDescent="0.35">
      <c r="A96">
        <v>92</v>
      </c>
      <c r="B96" t="s">
        <v>567</v>
      </c>
      <c r="C96" s="297">
        <v>7525</v>
      </c>
      <c r="D96" s="297">
        <v>87.5</v>
      </c>
      <c r="E96" s="303">
        <f t="shared" si="1"/>
        <v>1.969172779500429E-4</v>
      </c>
    </row>
    <row r="97" spans="1:5" hidden="1" outlineLevel="1" x14ac:dyDescent="0.35">
      <c r="A97">
        <v>93</v>
      </c>
      <c r="B97" t="s">
        <v>608</v>
      </c>
      <c r="C97" s="297">
        <v>595</v>
      </c>
      <c r="D97" s="297">
        <v>74.38</v>
      </c>
      <c r="E97" s="303">
        <f t="shared" si="1"/>
        <v>1.6739093867341933E-4</v>
      </c>
    </row>
    <row r="98" spans="1:5" hidden="1" outlineLevel="1" x14ac:dyDescent="0.35">
      <c r="A98">
        <v>94</v>
      </c>
      <c r="B98" t="s">
        <v>530</v>
      </c>
      <c r="C98" s="297">
        <v>3125</v>
      </c>
      <c r="D98" s="297"/>
      <c r="E98" s="303">
        <f t="shared" si="1"/>
        <v>0</v>
      </c>
    </row>
    <row r="99" spans="1:5" hidden="1" outlineLevel="1" x14ac:dyDescent="0.35">
      <c r="A99">
        <v>95</v>
      </c>
      <c r="B99" t="s">
        <v>428</v>
      </c>
      <c r="C99" s="297">
        <v>13125</v>
      </c>
      <c r="D99" s="297"/>
      <c r="E99" s="303">
        <f t="shared" si="1"/>
        <v>0</v>
      </c>
    </row>
    <row r="100" spans="1:5" hidden="1" outlineLevel="1" x14ac:dyDescent="0.35">
      <c r="A100">
        <v>96</v>
      </c>
      <c r="B100" t="s">
        <v>429</v>
      </c>
      <c r="C100" s="297">
        <v>8925</v>
      </c>
      <c r="D100" s="297"/>
      <c r="E100" s="303">
        <f t="shared" si="1"/>
        <v>0</v>
      </c>
    </row>
    <row r="101" spans="1:5" hidden="1" outlineLevel="1" x14ac:dyDescent="0.35">
      <c r="A101">
        <v>97</v>
      </c>
      <c r="B101" t="s">
        <v>515</v>
      </c>
      <c r="C101" s="297">
        <v>7313</v>
      </c>
      <c r="D101" s="297"/>
      <c r="E101" s="303">
        <f t="shared" si="1"/>
        <v>0</v>
      </c>
    </row>
    <row r="102" spans="1:5" hidden="1" outlineLevel="1" x14ac:dyDescent="0.35">
      <c r="A102">
        <v>98</v>
      </c>
      <c r="B102" t="s">
        <v>492</v>
      </c>
      <c r="C102" s="297">
        <v>20992</v>
      </c>
      <c r="D102" s="297"/>
      <c r="E102" s="303">
        <f t="shared" si="1"/>
        <v>0</v>
      </c>
    </row>
    <row r="103" spans="1:5" hidden="1" outlineLevel="1" x14ac:dyDescent="0.35">
      <c r="A103">
        <v>99</v>
      </c>
      <c r="B103" t="s">
        <v>571</v>
      </c>
      <c r="C103" s="297">
        <v>21250</v>
      </c>
      <c r="D103" s="297"/>
      <c r="E103" s="303">
        <f t="shared" si="1"/>
        <v>0</v>
      </c>
    </row>
    <row r="104" spans="1:5" hidden="1" outlineLevel="1" x14ac:dyDescent="0.35">
      <c r="A104">
        <v>100</v>
      </c>
      <c r="B104" t="s">
        <v>534</v>
      </c>
      <c r="C104" s="297">
        <v>15308</v>
      </c>
      <c r="D104" s="297"/>
      <c r="E104" s="303">
        <f t="shared" si="1"/>
        <v>0</v>
      </c>
    </row>
    <row r="105" spans="1:5" hidden="1" outlineLevel="1" x14ac:dyDescent="0.35">
      <c r="A105">
        <v>101</v>
      </c>
      <c r="B105" t="s">
        <v>548</v>
      </c>
      <c r="C105" s="297">
        <v>4078</v>
      </c>
      <c r="D105" s="297"/>
      <c r="E105" s="303">
        <f t="shared" si="1"/>
        <v>0</v>
      </c>
    </row>
    <row r="106" spans="1:5" hidden="1" outlineLevel="1" x14ac:dyDescent="0.35">
      <c r="A106">
        <v>102</v>
      </c>
      <c r="B106" t="s">
        <v>645</v>
      </c>
      <c r="C106" s="297">
        <v>2500</v>
      </c>
      <c r="D106" s="297"/>
      <c r="E106" s="303">
        <f t="shared" si="1"/>
        <v>0</v>
      </c>
    </row>
    <row r="107" spans="1:5" hidden="1" outlineLevel="1" x14ac:dyDescent="0.35">
      <c r="A107">
        <v>103</v>
      </c>
      <c r="B107" t="s">
        <v>611</v>
      </c>
      <c r="C107" s="297">
        <v>2500</v>
      </c>
      <c r="D107" s="297"/>
      <c r="E107" s="303">
        <f t="shared" si="1"/>
        <v>0</v>
      </c>
    </row>
    <row r="108" spans="1:5" hidden="1" outlineLevel="1" x14ac:dyDescent="0.35">
      <c r="A108">
        <v>104</v>
      </c>
      <c r="B108" t="s">
        <v>430</v>
      </c>
      <c r="C108" s="297">
        <v>2625</v>
      </c>
      <c r="D108" s="297"/>
      <c r="E108" s="303">
        <f t="shared" si="1"/>
        <v>0</v>
      </c>
    </row>
    <row r="109" spans="1:5" hidden="1" outlineLevel="1" x14ac:dyDescent="0.35">
      <c r="A109">
        <v>105</v>
      </c>
      <c r="B109" t="s">
        <v>623</v>
      </c>
      <c r="C109" s="297">
        <v>46552</v>
      </c>
      <c r="D109" s="297"/>
      <c r="E109" s="303">
        <f t="shared" si="1"/>
        <v>0</v>
      </c>
    </row>
    <row r="110" spans="1:5" hidden="1" outlineLevel="1" x14ac:dyDescent="0.35">
      <c r="A110">
        <v>106</v>
      </c>
      <c r="B110" t="s">
        <v>499</v>
      </c>
      <c r="C110" s="297">
        <v>3265</v>
      </c>
      <c r="D110" s="297"/>
      <c r="E110" s="303">
        <f t="shared" si="1"/>
        <v>0</v>
      </c>
    </row>
    <row r="111" spans="1:5" hidden="1" outlineLevel="1" x14ac:dyDescent="0.35">
      <c r="A111">
        <v>107</v>
      </c>
      <c r="B111" t="s">
        <v>473</v>
      </c>
      <c r="C111" s="297">
        <v>3117</v>
      </c>
      <c r="D111" s="297"/>
      <c r="E111" s="303">
        <f t="shared" si="1"/>
        <v>0</v>
      </c>
    </row>
    <row r="112" spans="1:5" hidden="1" outlineLevel="1" x14ac:dyDescent="0.35">
      <c r="A112">
        <v>108</v>
      </c>
      <c r="B112" t="s">
        <v>549</v>
      </c>
      <c r="C112" s="297">
        <v>11057</v>
      </c>
      <c r="D112" s="297"/>
      <c r="E112" s="303">
        <f t="shared" si="1"/>
        <v>0</v>
      </c>
    </row>
    <row r="113" spans="1:5" hidden="1" outlineLevel="1" x14ac:dyDescent="0.35">
      <c r="A113">
        <v>109</v>
      </c>
      <c r="B113" t="s">
        <v>599</v>
      </c>
      <c r="C113" s="297">
        <v>13781</v>
      </c>
      <c r="D113" s="297"/>
      <c r="E113" s="303">
        <f t="shared" si="1"/>
        <v>0</v>
      </c>
    </row>
    <row r="114" spans="1:5" hidden="1" outlineLevel="1" x14ac:dyDescent="0.35">
      <c r="A114">
        <v>110</v>
      </c>
      <c r="B114" t="s">
        <v>533</v>
      </c>
      <c r="C114" s="297">
        <v>3454</v>
      </c>
      <c r="D114" s="297"/>
      <c r="E114" s="303">
        <f t="shared" si="1"/>
        <v>0</v>
      </c>
    </row>
    <row r="115" spans="1:5" hidden="1" outlineLevel="1" x14ac:dyDescent="0.35">
      <c r="A115">
        <v>111</v>
      </c>
      <c r="B115" t="s">
        <v>638</v>
      </c>
      <c r="C115" s="297">
        <v>3516</v>
      </c>
      <c r="D115" s="297"/>
      <c r="E115" s="303">
        <f t="shared" si="1"/>
        <v>0</v>
      </c>
    </row>
    <row r="116" spans="1:5" hidden="1" outlineLevel="1" x14ac:dyDescent="0.35">
      <c r="A116">
        <v>112</v>
      </c>
      <c r="B116" t="s">
        <v>649</v>
      </c>
      <c r="C116" s="297">
        <v>3125</v>
      </c>
      <c r="D116" s="297"/>
      <c r="E116" s="303">
        <f t="shared" si="1"/>
        <v>0</v>
      </c>
    </row>
    <row r="117" spans="1:5" hidden="1" outlineLevel="1" x14ac:dyDescent="0.35">
      <c r="A117">
        <v>113</v>
      </c>
      <c r="B117" t="s">
        <v>592</v>
      </c>
      <c r="C117" s="297">
        <v>18270</v>
      </c>
      <c r="D117" s="297"/>
      <c r="E117" s="303">
        <f t="shared" si="1"/>
        <v>0</v>
      </c>
    </row>
    <row r="118" spans="1:5" hidden="1" outlineLevel="1" x14ac:dyDescent="0.35">
      <c r="A118">
        <v>114</v>
      </c>
      <c r="B118" t="s">
        <v>579</v>
      </c>
      <c r="C118" s="297">
        <v>4000</v>
      </c>
      <c r="D118" s="297"/>
      <c r="E118" s="303">
        <f t="shared" si="1"/>
        <v>0</v>
      </c>
    </row>
    <row r="119" spans="1:5" hidden="1" outlineLevel="1" x14ac:dyDescent="0.35">
      <c r="A119">
        <v>115</v>
      </c>
      <c r="B119" t="s">
        <v>604</v>
      </c>
      <c r="C119" s="297">
        <v>65520</v>
      </c>
      <c r="D119" s="297"/>
      <c r="E119" s="303">
        <f t="shared" si="1"/>
        <v>0</v>
      </c>
    </row>
    <row r="120" spans="1:5" hidden="1" outlineLevel="1" x14ac:dyDescent="0.35">
      <c r="A120">
        <v>116</v>
      </c>
      <c r="B120" t="s">
        <v>497</v>
      </c>
      <c r="C120" s="297">
        <v>3125</v>
      </c>
      <c r="D120" s="297"/>
      <c r="E120" s="303">
        <f t="shared" si="1"/>
        <v>0</v>
      </c>
    </row>
    <row r="121" spans="1:5" hidden="1" outlineLevel="1" x14ac:dyDescent="0.35">
      <c r="A121">
        <v>117</v>
      </c>
      <c r="B121" t="s">
        <v>475</v>
      </c>
      <c r="C121" s="297">
        <v>17719</v>
      </c>
      <c r="D121" s="297"/>
      <c r="E121" s="303">
        <f t="shared" si="1"/>
        <v>0</v>
      </c>
    </row>
    <row r="122" spans="1:5" hidden="1" outlineLevel="1" x14ac:dyDescent="0.35">
      <c r="A122">
        <v>118</v>
      </c>
      <c r="B122" t="s">
        <v>498</v>
      </c>
      <c r="C122" s="297">
        <v>2500</v>
      </c>
      <c r="D122" s="297"/>
      <c r="E122" s="303">
        <f t="shared" si="1"/>
        <v>0</v>
      </c>
    </row>
    <row r="123" spans="1:5" hidden="1" outlineLevel="1" x14ac:dyDescent="0.35">
      <c r="A123">
        <v>119</v>
      </c>
      <c r="B123" t="s">
        <v>550</v>
      </c>
      <c r="C123" s="297">
        <v>3125</v>
      </c>
      <c r="D123" s="297"/>
      <c r="E123" s="303">
        <f t="shared" si="1"/>
        <v>0</v>
      </c>
    </row>
    <row r="124" spans="1:5" hidden="1" outlineLevel="1" x14ac:dyDescent="0.35">
      <c r="A124">
        <v>120</v>
      </c>
      <c r="B124" t="s">
        <v>637</v>
      </c>
      <c r="C124" s="297">
        <v>5219</v>
      </c>
      <c r="D124" s="297"/>
      <c r="E124" s="303">
        <f t="shared" si="1"/>
        <v>0</v>
      </c>
    </row>
    <row r="125" spans="1:5" hidden="1" outlineLevel="1" x14ac:dyDescent="0.35">
      <c r="A125" s="300">
        <v>121</v>
      </c>
      <c r="B125" s="300" t="s">
        <v>516</v>
      </c>
      <c r="C125" s="301">
        <v>17608</v>
      </c>
      <c r="D125" s="301"/>
      <c r="E125" s="304">
        <f t="shared" si="1"/>
        <v>0</v>
      </c>
    </row>
    <row r="126" spans="1:5" collapsed="1" x14ac:dyDescent="0.35">
      <c r="B126" t="s">
        <v>683</v>
      </c>
      <c r="C126" s="299">
        <f>SUM(C5:C19)</f>
        <v>2269070.85</v>
      </c>
      <c r="D126" s="299">
        <f>SUM(D5:D19)</f>
        <v>287680.63125000003</v>
      </c>
      <c r="E126" s="303">
        <f t="shared" si="1"/>
        <v>0.64742042085371498</v>
      </c>
    </row>
    <row r="127" spans="1:5" x14ac:dyDescent="0.35">
      <c r="B127" t="s">
        <v>684</v>
      </c>
      <c r="C127" s="299">
        <f>C128-C126</f>
        <v>1727678.27</v>
      </c>
      <c r="D127" s="299">
        <f>D128-D126</f>
        <v>156668.39140000014</v>
      </c>
      <c r="E127" s="303">
        <f t="shared" si="1"/>
        <v>0.35257957914628502</v>
      </c>
    </row>
    <row r="128" spans="1:5" x14ac:dyDescent="0.35">
      <c r="B128" s="298" t="s">
        <v>685</v>
      </c>
      <c r="C128" s="302">
        <f>SUM(C5:C125)</f>
        <v>3996749.12</v>
      </c>
      <c r="D128" s="302">
        <f>SUM(D5:D125)</f>
        <v>444349.02265000017</v>
      </c>
      <c r="E128" s="305">
        <f t="shared" si="1"/>
        <v>1</v>
      </c>
    </row>
  </sheetData>
  <sortState xmlns:xlrd2="http://schemas.microsoft.com/office/spreadsheetml/2017/richdata2" ref="B5:D125">
    <sortCondition descending="1" ref="D5:D125"/>
  </sortState>
  <pageMargins left="0.7" right="0.7" top="0.75" bottom="0.75" header="0.3" footer="0.3"/>
  <ignoredErrors>
    <ignoredError sqref="C126:D12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23AC-8B9F-438D-BAE6-07CD3ED77AA0}">
  <dimension ref="A1:F14"/>
  <sheetViews>
    <sheetView showGridLines="0" workbookViewId="0">
      <selection activeCell="A2" sqref="A2:XFD2"/>
    </sheetView>
  </sheetViews>
  <sheetFormatPr defaultRowHeight="15.5" x14ac:dyDescent="0.35"/>
  <cols>
    <col min="1" max="1" width="2.4140625" customWidth="1"/>
    <col min="2" max="2" width="16.75" customWidth="1"/>
    <col min="3" max="3" width="20.25" customWidth="1"/>
    <col min="4" max="4" width="16.1640625" customWidth="1"/>
    <col min="5" max="5" width="13.33203125" customWidth="1"/>
    <col min="6" max="6" width="55.58203125" customWidth="1"/>
  </cols>
  <sheetData>
    <row r="1" spans="1:6" ht="18.5" x14ac:dyDescent="0.45">
      <c r="A1" s="12" t="s">
        <v>180</v>
      </c>
    </row>
    <row r="2" spans="1:6" ht="18.5" x14ac:dyDescent="0.45">
      <c r="A2" s="12" t="s">
        <v>688</v>
      </c>
    </row>
    <row r="3" spans="1:6" ht="18.5" x14ac:dyDescent="0.45">
      <c r="A3" s="12"/>
    </row>
    <row r="4" spans="1:6" x14ac:dyDescent="0.35">
      <c r="B4" s="306" t="s">
        <v>190</v>
      </c>
      <c r="C4" s="307" t="s">
        <v>192</v>
      </c>
      <c r="D4" s="307" t="s">
        <v>680</v>
      </c>
      <c r="E4" s="307" t="s">
        <v>686</v>
      </c>
      <c r="F4" s="309" t="s">
        <v>687</v>
      </c>
    </row>
    <row r="5" spans="1:6" x14ac:dyDescent="0.35">
      <c r="A5">
        <v>1</v>
      </c>
      <c r="B5" t="s">
        <v>449</v>
      </c>
      <c r="C5" s="297">
        <v>3117457.5900000003</v>
      </c>
      <c r="D5" s="297">
        <v>344560.68875000003</v>
      </c>
      <c r="E5" s="311">
        <f>D5/$D$14</f>
        <v>0.7754280333399084</v>
      </c>
    </row>
    <row r="6" spans="1:6" x14ac:dyDescent="0.35">
      <c r="A6">
        <v>2</v>
      </c>
      <c r="B6" t="s">
        <v>689</v>
      </c>
      <c r="C6" s="297">
        <v>627430.96</v>
      </c>
      <c r="D6" s="297">
        <v>58780.951899999993</v>
      </c>
      <c r="E6" s="311">
        <f t="shared" ref="E6:E14" si="0">D6/$D$14</f>
        <v>0.13228554335383316</v>
      </c>
    </row>
    <row r="7" spans="1:6" x14ac:dyDescent="0.35">
      <c r="A7">
        <v>3</v>
      </c>
      <c r="B7" t="s">
        <v>427</v>
      </c>
      <c r="C7" s="297">
        <v>138290</v>
      </c>
      <c r="D7" s="297">
        <v>14317.925000000001</v>
      </c>
      <c r="E7" s="311">
        <f t="shared" si="0"/>
        <v>3.2222249335918496E-2</v>
      </c>
    </row>
    <row r="8" spans="1:6" x14ac:dyDescent="0.35">
      <c r="A8">
        <v>4</v>
      </c>
      <c r="B8" t="s">
        <v>463</v>
      </c>
      <c r="C8" s="297">
        <v>45706</v>
      </c>
      <c r="D8" s="297">
        <v>6855.9</v>
      </c>
      <c r="E8" s="311">
        <f t="shared" si="0"/>
        <v>1.5429087610259419E-2</v>
      </c>
    </row>
    <row r="9" spans="1:6" x14ac:dyDescent="0.35">
      <c r="A9">
        <v>5</v>
      </c>
      <c r="B9" t="s">
        <v>238</v>
      </c>
      <c r="C9" s="297">
        <v>43167.57</v>
      </c>
      <c r="D9" s="297">
        <v>4316.7570000000005</v>
      </c>
      <c r="E9" s="311">
        <f t="shared" si="0"/>
        <v>9.7147890058490692E-3</v>
      </c>
    </row>
    <row r="10" spans="1:6" x14ac:dyDescent="0.35">
      <c r="A10">
        <v>6</v>
      </c>
      <c r="B10" t="s">
        <v>315</v>
      </c>
      <c r="C10" s="297">
        <v>14535</v>
      </c>
      <c r="D10" s="297">
        <v>1308.1500000000001</v>
      </c>
      <c r="E10" s="311">
        <f t="shared" si="0"/>
        <v>2.9439695674325561E-3</v>
      </c>
    </row>
    <row r="11" spans="1:6" x14ac:dyDescent="0.35">
      <c r="A11">
        <v>7</v>
      </c>
      <c r="B11" s="300" t="s">
        <v>226</v>
      </c>
      <c r="C11" s="301">
        <v>6313</v>
      </c>
      <c r="D11" s="301">
        <v>631.30000000000007</v>
      </c>
      <c r="E11" s="312">
        <f t="shared" si="0"/>
        <v>1.4207300293698527E-3</v>
      </c>
    </row>
    <row r="12" spans="1:6" x14ac:dyDescent="0.35">
      <c r="B12" t="s">
        <v>688</v>
      </c>
      <c r="C12" s="299">
        <f>SUM(C5:C11)</f>
        <v>3992900.12</v>
      </c>
      <c r="D12" s="299">
        <f>SUM(D5:D11)</f>
        <v>430771.67265000002</v>
      </c>
      <c r="E12" s="311">
        <f t="shared" si="0"/>
        <v>0.96944440224257089</v>
      </c>
    </row>
    <row r="13" spans="1:6" x14ac:dyDescent="0.35">
      <c r="B13" t="s">
        <v>691</v>
      </c>
      <c r="C13" s="299">
        <f>C14-C12</f>
        <v>3849</v>
      </c>
      <c r="D13" s="299">
        <f>D14-D12</f>
        <v>13577.350000000151</v>
      </c>
      <c r="E13" s="311">
        <f t="shared" si="0"/>
        <v>3.0555597757429085E-2</v>
      </c>
    </row>
    <row r="14" spans="1:6" x14ac:dyDescent="0.35">
      <c r="B14" s="298" t="s">
        <v>690</v>
      </c>
      <c r="C14" s="310">
        <f>'Top Client Accounts'!C128</f>
        <v>3996749.12</v>
      </c>
      <c r="D14" s="310">
        <f>'Top Client Accounts'!D128</f>
        <v>444349.02265000017</v>
      </c>
      <c r="E14" s="313">
        <f t="shared" si="0"/>
        <v>1</v>
      </c>
    </row>
  </sheetData>
  <sortState xmlns:xlrd2="http://schemas.microsoft.com/office/spreadsheetml/2017/richdata2" ref="B6:D11">
    <sortCondition descending="1" ref="D6:D1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41F48-F43F-4A69-9668-01FF16B64AC1}">
  <sheetPr>
    <pageSetUpPr fitToPage="1"/>
  </sheetPr>
  <dimension ref="A1:L139"/>
  <sheetViews>
    <sheetView showGridLines="0" zoomScale="80" zoomScaleNormal="80" zoomScaleSheetLayoutView="100" workbookViewId="0">
      <pane xSplit="1" ySplit="5" topLeftCell="B69" activePane="bottomRight" state="frozen"/>
      <selection pane="topRight" activeCell="D1" sqref="D1"/>
      <selection pane="bottomLeft" activeCell="A8" sqref="A8"/>
      <selection pane="bottomRight" activeCell="A92" sqref="A92"/>
    </sheetView>
  </sheetViews>
  <sheetFormatPr defaultColWidth="8.6640625" defaultRowHeight="14.5" outlineLevelRow="1" x14ac:dyDescent="0.35"/>
  <cols>
    <col min="1" max="1" width="30.6640625" style="118" customWidth="1"/>
    <col min="2" max="3" width="12.33203125" style="118" customWidth="1"/>
    <col min="4" max="5" width="1.08203125" style="118" customWidth="1"/>
    <col min="6" max="6" width="12.33203125" style="118" customWidth="1"/>
    <col min="7" max="7" width="1.08203125" style="118" customWidth="1"/>
    <col min="8" max="8" width="12.33203125" style="118" customWidth="1"/>
    <col min="9" max="9" width="1.08203125" style="13" customWidth="1"/>
    <col min="10" max="10" width="86.9140625" style="13" customWidth="1"/>
    <col min="11" max="11" width="10.33203125" style="13" bestFit="1" customWidth="1"/>
    <col min="12" max="12" width="12.08203125" style="13" bestFit="1" customWidth="1"/>
    <col min="13" max="16384" width="8.6640625" style="13"/>
  </cols>
  <sheetData>
    <row r="1" spans="1:10" ht="18.5" x14ac:dyDescent="0.45">
      <c r="A1" s="12" t="s">
        <v>180</v>
      </c>
      <c r="B1" s="13"/>
      <c r="C1" s="13"/>
      <c r="D1" s="13"/>
      <c r="E1" s="13"/>
      <c r="F1" s="13"/>
      <c r="G1" s="13"/>
      <c r="H1" s="13"/>
    </row>
    <row r="2" spans="1:10" ht="18.5" x14ac:dyDescent="0.45">
      <c r="A2" s="12" t="s">
        <v>181</v>
      </c>
      <c r="B2" s="13"/>
      <c r="C2" s="13"/>
      <c r="D2" s="13"/>
      <c r="E2" s="13"/>
      <c r="F2" s="13"/>
      <c r="G2" s="13"/>
      <c r="H2" s="13"/>
    </row>
    <row r="3" spans="1:10" x14ac:dyDescent="0.35">
      <c r="A3" s="114"/>
      <c r="B3" s="115"/>
      <c r="C3" s="115"/>
      <c r="D3" s="115"/>
      <c r="E3" s="115"/>
      <c r="F3" s="115"/>
      <c r="G3" s="115"/>
      <c r="H3" s="115"/>
    </row>
    <row r="4" spans="1:10" x14ac:dyDescent="0.35">
      <c r="A4" s="116"/>
      <c r="B4" s="116"/>
      <c r="C4" s="174">
        <v>46174</v>
      </c>
      <c r="D4" s="117"/>
      <c r="F4" s="116" t="s">
        <v>119</v>
      </c>
      <c r="H4" s="116" t="s">
        <v>117</v>
      </c>
      <c r="J4" s="119"/>
    </row>
    <row r="5" spans="1:10" x14ac:dyDescent="0.35">
      <c r="A5" s="120" t="s">
        <v>118</v>
      </c>
      <c r="B5" s="173" t="s">
        <v>182</v>
      </c>
      <c r="C5" s="121" t="s">
        <v>183</v>
      </c>
      <c r="D5" s="117"/>
      <c r="F5" s="116" t="s">
        <v>184</v>
      </c>
      <c r="H5" s="116" t="s">
        <v>119</v>
      </c>
      <c r="J5" s="122" t="s">
        <v>120</v>
      </c>
    </row>
    <row r="6" spans="1:10" ht="14.5" customHeight="1" x14ac:dyDescent="0.35">
      <c r="A6" s="123" t="s">
        <v>121</v>
      </c>
      <c r="D6" s="117"/>
      <c r="E6" s="124"/>
      <c r="G6" s="124"/>
      <c r="H6" s="124"/>
      <c r="J6" s="125"/>
    </row>
    <row r="7" spans="1:10" ht="14.5" customHeight="1" x14ac:dyDescent="0.35">
      <c r="A7" s="130" t="s">
        <v>2</v>
      </c>
      <c r="B7" s="131">
        <v>351963.13</v>
      </c>
      <c r="C7" s="131">
        <f>'June-26 TTM '!B7-64000</f>
        <v>505203.54000000004</v>
      </c>
      <c r="D7" s="132"/>
      <c r="E7" s="134"/>
      <c r="F7" s="131">
        <f>SUM('Book of Business'!H312:H316)-'Pro Forma Financials'!C8-C18</f>
        <v>86628.172649999964</v>
      </c>
      <c r="G7" s="134"/>
      <c r="H7" s="133">
        <f>C7+F7</f>
        <v>591831.71265</v>
      </c>
      <c r="J7" s="125" t="s">
        <v>693</v>
      </c>
    </row>
    <row r="8" spans="1:10" ht="14.5" customHeight="1" x14ac:dyDescent="0.35">
      <c r="A8" s="135" t="s">
        <v>122</v>
      </c>
      <c r="B8" s="128">
        <v>351963.13</v>
      </c>
      <c r="C8" s="128">
        <f>SUBTOTAL(9,C7:C7)</f>
        <v>505203.54000000004</v>
      </c>
      <c r="D8" s="127"/>
      <c r="E8" s="129"/>
      <c r="F8" s="128">
        <f>SUBTOTAL(9,F7:F7)</f>
        <v>86628.172649999964</v>
      </c>
      <c r="G8" s="129"/>
      <c r="H8" s="128">
        <f>SUBTOTAL(9,H7:H7)</f>
        <v>591831.71265</v>
      </c>
      <c r="J8" s="125"/>
    </row>
    <row r="9" spans="1:10" ht="10.4" customHeight="1" x14ac:dyDescent="0.35">
      <c r="A9" s="136"/>
      <c r="B9" s="129"/>
      <c r="C9" s="129"/>
      <c r="D9" s="127"/>
      <c r="E9" s="129"/>
      <c r="F9" s="129"/>
      <c r="G9" s="129"/>
      <c r="H9" s="129"/>
      <c r="J9" s="125"/>
    </row>
    <row r="10" spans="1:10" ht="10.4" customHeight="1" thickBot="1" x14ac:dyDescent="0.4">
      <c r="B10" s="137"/>
      <c r="C10" s="137"/>
      <c r="D10" s="137"/>
      <c r="E10" s="137"/>
      <c r="F10" s="137"/>
      <c r="G10" s="137"/>
      <c r="H10" s="137"/>
      <c r="J10" s="125"/>
    </row>
    <row r="11" spans="1:10" ht="15" customHeight="1" thickBot="1" x14ac:dyDescent="0.4">
      <c r="A11" s="138" t="s">
        <v>123</v>
      </c>
      <c r="B11" s="139">
        <v>351963.13</v>
      </c>
      <c r="C11" s="139">
        <f>SUBTOTAL(9,C$7:C$9)</f>
        <v>505203.54000000004</v>
      </c>
      <c r="D11" s="139"/>
      <c r="E11" s="139"/>
      <c r="F11" s="139">
        <f>SUBTOTAL(9,F$7:F$9)</f>
        <v>86628.172649999964</v>
      </c>
      <c r="G11" s="139"/>
      <c r="H11" s="140">
        <f>SUBTOTAL(9,H$7:H$9)</f>
        <v>591831.71265</v>
      </c>
      <c r="J11" s="125"/>
    </row>
    <row r="12" spans="1:10" ht="10.4" customHeight="1" x14ac:dyDescent="0.35">
      <c r="A12" s="136"/>
      <c r="B12" s="141"/>
      <c r="C12" s="141"/>
      <c r="D12" s="127"/>
      <c r="E12" s="141"/>
      <c r="F12" s="141"/>
      <c r="G12" s="141"/>
      <c r="H12" s="141"/>
      <c r="J12" s="125"/>
    </row>
    <row r="13" spans="1:10" ht="14.5" customHeight="1" x14ac:dyDescent="0.35">
      <c r="A13" s="130"/>
      <c r="B13" s="131">
        <v>0</v>
      </c>
      <c r="C13" s="131">
        <f>IFERROR(INDEX([1]PF_Input!$B$9:$F$89,MATCH($A13,[1]PF_Input!$B$9:$B$89,0),MATCH(C$3,[1]PF_Input!$B$5:$F$5,0)),0)</f>
        <v>0</v>
      </c>
      <c r="D13" s="132"/>
      <c r="E13" s="134"/>
      <c r="F13" s="131">
        <v>0</v>
      </c>
      <c r="G13" s="134"/>
      <c r="H13" s="133">
        <f>C13+F13</f>
        <v>0</v>
      </c>
      <c r="J13" s="125"/>
    </row>
    <row r="14" spans="1:10" ht="14.5" customHeight="1" x14ac:dyDescent="0.35">
      <c r="A14" s="135" t="s">
        <v>124</v>
      </c>
      <c r="B14" s="128">
        <v>0</v>
      </c>
      <c r="C14" s="128">
        <f t="shared" ref="C14" si="0">SUBTOTAL(9,C13:C13)</f>
        <v>0</v>
      </c>
      <c r="D14" s="127"/>
      <c r="E14" s="129"/>
      <c r="F14" s="128">
        <f>SUBTOTAL(9,F13:F13)</f>
        <v>0</v>
      </c>
      <c r="G14" s="129"/>
      <c r="H14" s="128">
        <f>SUBTOTAL(9,H13:H13)</f>
        <v>0</v>
      </c>
      <c r="J14" s="125"/>
    </row>
    <row r="15" spans="1:10" ht="10.4" customHeight="1" thickBot="1" x14ac:dyDescent="0.4">
      <c r="A15" s="136"/>
      <c r="B15" s="141"/>
      <c r="C15" s="141"/>
      <c r="D15" s="127"/>
      <c r="E15" s="141"/>
      <c r="F15" s="141"/>
      <c r="G15" s="141"/>
      <c r="H15" s="141"/>
      <c r="J15" s="125"/>
    </row>
    <row r="16" spans="1:10" ht="15" customHeight="1" thickBot="1" x14ac:dyDescent="0.4">
      <c r="A16" s="138" t="s">
        <v>125</v>
      </c>
      <c r="B16" s="139">
        <v>351963.13</v>
      </c>
      <c r="C16" s="139">
        <f>SUBTOTAL(9,C$7:C$14)</f>
        <v>505203.54000000004</v>
      </c>
      <c r="D16" s="139"/>
      <c r="E16" s="139"/>
      <c r="F16" s="139">
        <f>SUBTOTAL(9,F$7:F$14)</f>
        <v>86628.172649999964</v>
      </c>
      <c r="G16" s="139"/>
      <c r="H16" s="140">
        <f>SUBTOTAL(9,H$7:H$14)</f>
        <v>591831.71265</v>
      </c>
      <c r="J16" s="125"/>
    </row>
    <row r="17" spans="1:10" ht="10.4" customHeight="1" x14ac:dyDescent="0.35">
      <c r="A17" s="136"/>
      <c r="B17" s="141"/>
      <c r="C17" s="141"/>
      <c r="D17" s="127"/>
      <c r="E17" s="141"/>
      <c r="F17" s="141"/>
      <c r="G17" s="141"/>
      <c r="H17" s="141"/>
      <c r="J17" s="125"/>
    </row>
    <row r="18" spans="1:10" ht="14.5" customHeight="1" x14ac:dyDescent="0.35">
      <c r="A18" s="130" t="s">
        <v>126</v>
      </c>
      <c r="B18" s="131">
        <v>64000</v>
      </c>
      <c r="C18" s="131">
        <v>64000</v>
      </c>
      <c r="D18" s="132"/>
      <c r="E18" s="142"/>
      <c r="F18" s="131"/>
      <c r="G18" s="142"/>
      <c r="H18" s="133">
        <f>C18+F18</f>
        <v>64000</v>
      </c>
      <c r="J18" s="125"/>
    </row>
    <row r="19" spans="1:10" ht="14.5" customHeight="1" x14ac:dyDescent="0.35">
      <c r="A19" s="135" t="s">
        <v>127</v>
      </c>
      <c r="B19" s="128">
        <v>64000</v>
      </c>
      <c r="C19" s="128">
        <f>SUBTOTAL(9,C18:C18)</f>
        <v>64000</v>
      </c>
      <c r="D19" s="127"/>
      <c r="E19" s="129"/>
      <c r="F19" s="128">
        <f>SUBTOTAL(9,F18:F18)</f>
        <v>0</v>
      </c>
      <c r="G19" s="129"/>
      <c r="H19" s="128">
        <f>SUBTOTAL(9,H18:H18)</f>
        <v>64000</v>
      </c>
      <c r="J19" s="125"/>
    </row>
    <row r="20" spans="1:10" ht="10.4" customHeight="1" x14ac:dyDescent="0.35">
      <c r="A20" s="136"/>
      <c r="B20" s="129"/>
      <c r="C20" s="129"/>
      <c r="D20" s="127"/>
      <c r="E20" s="129"/>
      <c r="F20" s="129"/>
      <c r="G20" s="129"/>
      <c r="H20" s="129"/>
      <c r="J20" s="125"/>
    </row>
    <row r="21" spans="1:10" ht="14.5" customHeight="1" outlineLevel="1" x14ac:dyDescent="0.35">
      <c r="A21" s="130" t="s">
        <v>129</v>
      </c>
      <c r="B21" s="131">
        <v>0</v>
      </c>
      <c r="C21" s="131">
        <f>IFERROR(INDEX([1]PF_Input!$B$9:$F$89,MATCH($A21,[1]PF_Input!$B$9:$B$89,0),MATCH(C$3,[1]PF_Input!$B$5:$F$5,0)),0)</f>
        <v>0</v>
      </c>
      <c r="D21" s="132"/>
      <c r="E21" s="134"/>
      <c r="F21" s="131">
        <v>0</v>
      </c>
      <c r="G21" s="134"/>
      <c r="H21" s="133">
        <f>C21+F21</f>
        <v>0</v>
      </c>
      <c r="J21" s="125"/>
    </row>
    <row r="22" spans="1:10" ht="14.5" customHeight="1" x14ac:dyDescent="0.35">
      <c r="A22" s="135" t="s">
        <v>128</v>
      </c>
      <c r="B22" s="128">
        <v>0</v>
      </c>
      <c r="C22" s="128">
        <f>SUBTOTAL(9,C21:C21)</f>
        <v>0</v>
      </c>
      <c r="D22" s="127"/>
      <c r="E22" s="129"/>
      <c r="F22" s="128">
        <f>SUBTOTAL(9,F21:F21)</f>
        <v>0</v>
      </c>
      <c r="G22" s="129"/>
      <c r="H22" s="128">
        <f>SUBTOTAL(9,H21:H21)</f>
        <v>0</v>
      </c>
      <c r="J22" s="125"/>
    </row>
    <row r="23" spans="1:10" ht="10.4" customHeight="1" x14ac:dyDescent="0.35">
      <c r="B23" s="129"/>
      <c r="C23" s="129"/>
      <c r="D23" s="127"/>
      <c r="E23" s="129"/>
      <c r="F23" s="129"/>
      <c r="G23" s="129"/>
      <c r="H23" s="129"/>
      <c r="J23" s="125"/>
    </row>
    <row r="24" spans="1:10" ht="14.5" customHeight="1" outlineLevel="1" x14ac:dyDescent="0.35">
      <c r="A24" s="130" t="s">
        <v>49</v>
      </c>
      <c r="B24" s="131">
        <v>0</v>
      </c>
      <c r="C24" s="131">
        <f>'June-26 TTM '!B52</f>
        <v>205</v>
      </c>
      <c r="D24" s="132"/>
      <c r="E24" s="134"/>
      <c r="F24" s="131">
        <v>0</v>
      </c>
      <c r="G24" s="134"/>
      <c r="H24" s="133">
        <f>C24+F24</f>
        <v>205</v>
      </c>
      <c r="J24" s="125"/>
    </row>
    <row r="25" spans="1:10" ht="14.5" customHeight="1" x14ac:dyDescent="0.35">
      <c r="A25" s="135" t="s">
        <v>130</v>
      </c>
      <c r="B25" s="128">
        <v>0</v>
      </c>
      <c r="C25" s="128">
        <f>SUBTOTAL(9,C24:C24)</f>
        <v>205</v>
      </c>
      <c r="D25" s="127"/>
      <c r="E25" s="129"/>
      <c r="F25" s="128">
        <f>SUBTOTAL(9,F24:F24)</f>
        <v>0</v>
      </c>
      <c r="G25" s="129"/>
      <c r="H25" s="128">
        <f>SUBTOTAL(9,H24:H24)</f>
        <v>205</v>
      </c>
      <c r="J25" s="125"/>
    </row>
    <row r="26" spans="1:10" ht="10.4" customHeight="1" thickBot="1" x14ac:dyDescent="0.4">
      <c r="B26" s="137"/>
      <c r="C26" s="137"/>
      <c r="D26" s="137"/>
      <c r="E26" s="137"/>
      <c r="F26" s="137"/>
      <c r="G26" s="137"/>
      <c r="H26" s="137"/>
      <c r="J26" s="125"/>
    </row>
    <row r="27" spans="1:10" ht="15" customHeight="1" x14ac:dyDescent="0.35">
      <c r="A27" s="143" t="s">
        <v>48</v>
      </c>
      <c r="B27" s="144">
        <v>64000</v>
      </c>
      <c r="C27" s="144">
        <f>SUBTOTAL(9,C18:C25)</f>
        <v>64205</v>
      </c>
      <c r="D27" s="144"/>
      <c r="E27" s="144"/>
      <c r="F27" s="144">
        <f>SUBTOTAL(9,F18:F25)</f>
        <v>0</v>
      </c>
      <c r="G27" s="144"/>
      <c r="H27" s="145">
        <f>SUBTOTAL(9,H18:H25)</f>
        <v>64205</v>
      </c>
      <c r="J27" s="125"/>
    </row>
    <row r="28" spans="1:10" ht="15" customHeight="1" thickBot="1" x14ac:dyDescent="0.4">
      <c r="A28" s="146" t="s">
        <v>131</v>
      </c>
      <c r="B28" s="147">
        <v>415963.13</v>
      </c>
      <c r="C28" s="147">
        <f>SUBTOTAL(9,C7:C25)</f>
        <v>569408.54</v>
      </c>
      <c r="D28" s="147"/>
      <c r="E28" s="147"/>
      <c r="F28" s="147">
        <f>SUBTOTAL(9,F7:F25)</f>
        <v>86628.172649999964</v>
      </c>
      <c r="G28" s="147"/>
      <c r="H28" s="148">
        <f>SUBTOTAL(9,H7:H25)</f>
        <v>656036.71265</v>
      </c>
      <c r="J28" s="125"/>
    </row>
    <row r="29" spans="1:10" ht="15" customHeight="1" x14ac:dyDescent="0.35">
      <c r="A29" s="135"/>
      <c r="B29" s="149"/>
      <c r="C29" s="149"/>
      <c r="D29" s="149"/>
      <c r="E29" s="149"/>
      <c r="F29" s="149"/>
      <c r="G29" s="149"/>
      <c r="H29" s="149"/>
      <c r="J29" s="125"/>
    </row>
    <row r="30" spans="1:10" ht="14.15" customHeight="1" x14ac:dyDescent="0.35">
      <c r="A30" s="123" t="s">
        <v>5</v>
      </c>
      <c r="B30" s="137"/>
      <c r="C30" s="137"/>
      <c r="D30" s="127"/>
      <c r="E30" s="137"/>
      <c r="F30" s="137"/>
      <c r="G30" s="137"/>
      <c r="H30" s="137"/>
      <c r="J30" s="125"/>
    </row>
    <row r="31" spans="1:10" ht="14.5" customHeight="1" x14ac:dyDescent="0.35">
      <c r="A31" s="130" t="s">
        <v>32</v>
      </c>
      <c r="B31" s="131">
        <v>200002.16</v>
      </c>
      <c r="C31" s="131">
        <f>'June-26 TTM '!B35</f>
        <v>183335.48</v>
      </c>
      <c r="D31" s="132"/>
      <c r="E31" s="134"/>
      <c r="F31" s="131">
        <f>'Employee Roster'!S8-'Pro Forma Financials'!C31</f>
        <v>66664.51999999999</v>
      </c>
      <c r="G31" s="134"/>
      <c r="H31" s="133">
        <f>C31+F31</f>
        <v>250000</v>
      </c>
      <c r="J31" s="125" t="s">
        <v>695</v>
      </c>
    </row>
    <row r="32" spans="1:10" ht="14.5" customHeight="1" x14ac:dyDescent="0.35">
      <c r="A32" s="135" t="s">
        <v>132</v>
      </c>
      <c r="B32" s="128">
        <v>200002.16</v>
      </c>
      <c r="C32" s="128">
        <f>SUBTOTAL(9,C31:C31)</f>
        <v>183335.48</v>
      </c>
      <c r="D32" s="127"/>
      <c r="E32" s="129"/>
      <c r="F32" s="128">
        <f>SUBTOTAL(9,F31:F31)</f>
        <v>66664.51999999999</v>
      </c>
      <c r="G32" s="129"/>
      <c r="H32" s="128">
        <f>SUBTOTAL(9,H31:H31)</f>
        <v>250000</v>
      </c>
      <c r="J32" s="125"/>
    </row>
    <row r="33" spans="1:12" ht="10.4" customHeight="1" x14ac:dyDescent="0.35">
      <c r="A33" s="136"/>
      <c r="B33" s="129"/>
      <c r="C33" s="129"/>
      <c r="D33" s="127"/>
      <c r="E33" s="129"/>
      <c r="F33" s="129"/>
      <c r="G33" s="129"/>
      <c r="H33" s="129"/>
      <c r="J33" s="125"/>
      <c r="L33" s="92"/>
    </row>
    <row r="34" spans="1:12" ht="10.4" customHeight="1" x14ac:dyDescent="0.35">
      <c r="B34" s="129"/>
      <c r="C34" s="129"/>
      <c r="D34" s="127"/>
      <c r="E34" s="129"/>
      <c r="F34" s="129"/>
      <c r="G34" s="129"/>
      <c r="H34" s="129"/>
      <c r="J34" s="125"/>
    </row>
    <row r="35" spans="1:12" ht="14.5" hidden="1" customHeight="1" outlineLevel="1" x14ac:dyDescent="0.35">
      <c r="A35" s="15"/>
      <c r="B35" s="126">
        <v>0</v>
      </c>
      <c r="C35" s="126">
        <f>IFERROR(INDEX([1]PF_Input!$B$9:$F$89,MATCH($A35,[1]PF_Input!$B$9:$B$89,0),MATCH(C$3,[1]PF_Input!$B$5:$F$5,0)),0)</f>
        <v>0</v>
      </c>
      <c r="D35" s="127"/>
      <c r="E35" s="129"/>
      <c r="F35" s="126">
        <v>0</v>
      </c>
      <c r="G35" s="129"/>
      <c r="H35" s="128"/>
      <c r="J35" s="125"/>
    </row>
    <row r="36" spans="1:12" ht="14.5" hidden="1" customHeight="1" outlineLevel="1" x14ac:dyDescent="0.35">
      <c r="A36" s="15"/>
      <c r="B36" s="126">
        <v>0</v>
      </c>
      <c r="C36" s="126">
        <f>IFERROR(INDEX([1]PF_Input!$B$9:$F$89,MATCH($A36,[1]PF_Input!$B$9:$B$89,0),MATCH(C$3,[1]PF_Input!$B$5:$F$5,0)),0)</f>
        <v>0</v>
      </c>
      <c r="D36" s="127"/>
      <c r="E36" s="129"/>
      <c r="F36" s="126">
        <v>0</v>
      </c>
      <c r="G36" s="129"/>
      <c r="H36" s="128"/>
      <c r="J36" s="125"/>
    </row>
    <row r="37" spans="1:12" ht="14.5" customHeight="1" collapsed="1" x14ac:dyDescent="0.35">
      <c r="A37" s="130" t="s">
        <v>35</v>
      </c>
      <c r="B37" s="131">
        <v>122550.59</v>
      </c>
      <c r="C37" s="131">
        <f>'June-26 TTM '!B38</f>
        <v>124914.82</v>
      </c>
      <c r="D37" s="132"/>
      <c r="E37" s="134"/>
      <c r="F37" s="131">
        <f>'Employee Roster'!S24-'Pro Forma Financials'!C37</f>
        <v>-14664.820000000007</v>
      </c>
      <c r="G37" s="134"/>
      <c r="H37" s="133">
        <f>C37+F37</f>
        <v>110250</v>
      </c>
      <c r="J37" s="125" t="s">
        <v>696</v>
      </c>
    </row>
    <row r="38" spans="1:12" ht="14.5" customHeight="1" x14ac:dyDescent="0.35">
      <c r="A38" s="135" t="s">
        <v>133</v>
      </c>
      <c r="B38" s="128">
        <v>122550.59</v>
      </c>
      <c r="C38" s="128">
        <f t="shared" ref="C38" si="1">SUBTOTAL(9,C35:C37)</f>
        <v>124914.82</v>
      </c>
      <c r="D38" s="127"/>
      <c r="E38" s="129"/>
      <c r="F38" s="128">
        <f>SUBTOTAL(9,F35:F37)</f>
        <v>-14664.820000000007</v>
      </c>
      <c r="G38" s="129"/>
      <c r="H38" s="128">
        <f>SUBTOTAL(9,H35:H37)</f>
        <v>110250</v>
      </c>
      <c r="J38" s="125"/>
    </row>
    <row r="39" spans="1:12" ht="10.4" customHeight="1" thickBot="1" x14ac:dyDescent="0.4">
      <c r="B39" s="137"/>
      <c r="C39" s="137"/>
      <c r="D39" s="137"/>
      <c r="E39" s="137"/>
      <c r="F39" s="137"/>
      <c r="G39" s="137"/>
      <c r="H39" s="137"/>
      <c r="J39" s="125"/>
    </row>
    <row r="40" spans="1:12" ht="15" customHeight="1" thickBot="1" x14ac:dyDescent="0.4">
      <c r="A40" s="138" t="s">
        <v>134</v>
      </c>
      <c r="B40" s="139">
        <v>322552.75</v>
      </c>
      <c r="C40" s="139">
        <f>SUBTOTAL(9,C31:C38)</f>
        <v>308250.30000000005</v>
      </c>
      <c r="D40" s="139"/>
      <c r="E40" s="139"/>
      <c r="F40" s="139">
        <f>SUBTOTAL(9,F31:F38)</f>
        <v>51999.699999999983</v>
      </c>
      <c r="G40" s="139"/>
      <c r="H40" s="140">
        <f>SUBTOTAL(9,H31:H38)</f>
        <v>360250</v>
      </c>
      <c r="J40" s="125"/>
    </row>
    <row r="41" spans="1:12" ht="10.4" customHeight="1" x14ac:dyDescent="0.35">
      <c r="B41" s="137"/>
      <c r="C41" s="137"/>
      <c r="D41" s="137"/>
      <c r="E41" s="137"/>
      <c r="F41" s="137"/>
      <c r="G41" s="137"/>
      <c r="H41" s="137"/>
      <c r="J41" s="125"/>
    </row>
    <row r="42" spans="1:12" ht="14.5" hidden="1" customHeight="1" outlineLevel="1" x14ac:dyDescent="0.35">
      <c r="A42" s="15"/>
      <c r="B42" s="126">
        <v>0</v>
      </c>
      <c r="C42" s="126">
        <f>IFERROR(INDEX([1]PF_Input!$B$9:$F$89,MATCH($A42,[1]PF_Input!$B$9:$B$89,0),MATCH(C$3,[1]PF_Input!$B$5:$F$5,0)),0)</f>
        <v>0</v>
      </c>
      <c r="D42" s="127"/>
      <c r="E42" s="129"/>
      <c r="F42" s="126">
        <v>0</v>
      </c>
      <c r="G42" s="129"/>
      <c r="H42" s="128"/>
      <c r="J42" s="125"/>
    </row>
    <row r="43" spans="1:12" ht="14.5" hidden="1" customHeight="1" outlineLevel="1" x14ac:dyDescent="0.35">
      <c r="A43" s="15"/>
      <c r="B43" s="126">
        <v>0</v>
      </c>
      <c r="C43" s="126">
        <f>IFERROR(INDEX([1]PF_Input!$B$9:$F$89,MATCH($A43,[1]PF_Input!$B$9:$B$89,0),MATCH(C$3,[1]PF_Input!$B$5:$F$5,0)),0)</f>
        <v>0</v>
      </c>
      <c r="D43" s="127"/>
      <c r="E43" s="129"/>
      <c r="F43" s="126">
        <v>0</v>
      </c>
      <c r="G43" s="129"/>
      <c r="H43" s="128"/>
      <c r="J43" s="125"/>
      <c r="K43" s="150"/>
    </row>
    <row r="44" spans="1:12" ht="14.5" customHeight="1" collapsed="1" x14ac:dyDescent="0.35">
      <c r="A44" s="130" t="s">
        <v>135</v>
      </c>
      <c r="B44" s="131">
        <v>0</v>
      </c>
      <c r="C44" s="131">
        <f>IFERROR(INDEX([1]PF_Input!$B$9:$F$89,MATCH($A44,[1]PF_Input!$B$9:$B$89,0),MATCH(C$3,[1]PF_Input!$B$5:$F$5,0)),0)</f>
        <v>0</v>
      </c>
      <c r="D44" s="132"/>
      <c r="E44" s="134"/>
      <c r="F44" s="131">
        <f>'Employee Roster'!AC26</f>
        <v>34800</v>
      </c>
      <c r="G44" s="134"/>
      <c r="H44" s="133">
        <f>C44+F44</f>
        <v>34800</v>
      </c>
      <c r="J44" s="125" t="s">
        <v>136</v>
      </c>
    </row>
    <row r="45" spans="1:12" ht="14.5" customHeight="1" x14ac:dyDescent="0.35">
      <c r="A45" s="135" t="s">
        <v>137</v>
      </c>
      <c r="B45" s="128">
        <v>0</v>
      </c>
      <c r="C45" s="128">
        <f t="shared" ref="C45" si="2">SUBTOTAL(9,C42:C44)</f>
        <v>0</v>
      </c>
      <c r="D45" s="127"/>
      <c r="E45" s="129"/>
      <c r="F45" s="128">
        <f>SUBTOTAL(9,F42:F44)</f>
        <v>34800</v>
      </c>
      <c r="G45" s="129"/>
      <c r="H45" s="128">
        <f>SUBTOTAL(9,H42:H44)</f>
        <v>34800</v>
      </c>
      <c r="J45" s="125"/>
    </row>
    <row r="46" spans="1:12" ht="10.4" customHeight="1" x14ac:dyDescent="0.35">
      <c r="A46" s="136"/>
      <c r="B46" s="129"/>
      <c r="C46" s="129"/>
      <c r="D46" s="127"/>
      <c r="E46" s="129"/>
      <c r="F46" s="129"/>
      <c r="G46" s="129"/>
      <c r="H46" s="129"/>
      <c r="J46" s="125"/>
    </row>
    <row r="47" spans="1:12" ht="14.5" hidden="1" customHeight="1" outlineLevel="1" x14ac:dyDescent="0.35">
      <c r="A47" s="15"/>
      <c r="B47" s="126">
        <v>0</v>
      </c>
      <c r="C47" s="126">
        <f>IFERROR(INDEX([1]PF_Input!$B$9:$F$89,MATCH($A47,[1]PF_Input!$B$9:$B$89,0),MATCH(C$3,[1]PF_Input!$B$5:$F$5,0)),0)</f>
        <v>0</v>
      </c>
      <c r="D47" s="127"/>
      <c r="E47" s="129"/>
      <c r="F47" s="126">
        <v>0</v>
      </c>
      <c r="G47" s="129"/>
      <c r="H47" s="128"/>
      <c r="J47" s="125"/>
    </row>
    <row r="48" spans="1:12" ht="14.5" hidden="1" customHeight="1" outlineLevel="1" x14ac:dyDescent="0.35">
      <c r="A48" s="15"/>
      <c r="B48" s="126">
        <v>0</v>
      </c>
      <c r="C48" s="126">
        <f>IFERROR(INDEX([1]PF_Input!$B$9:$F$89,MATCH($A48,[1]PF_Input!$B$9:$B$89,0),MATCH(C$3,[1]PF_Input!$B$5:$F$5,0)),0)</f>
        <v>0</v>
      </c>
      <c r="D48" s="127"/>
      <c r="E48" s="129"/>
      <c r="F48" s="126">
        <v>0</v>
      </c>
      <c r="G48" s="129"/>
      <c r="H48" s="128"/>
      <c r="J48" s="125"/>
    </row>
    <row r="49" spans="1:10" ht="14.5" customHeight="1" collapsed="1" x14ac:dyDescent="0.35">
      <c r="A49" s="130" t="s">
        <v>138</v>
      </c>
      <c r="B49" s="131">
        <v>26816.6</v>
      </c>
      <c r="C49" s="131">
        <f>'June-26 TTM '!B37</f>
        <v>23961.38</v>
      </c>
      <c r="D49" s="132"/>
      <c r="E49" s="134"/>
      <c r="F49" s="131">
        <f>'Employee Roster'!AA26-'Pro Forma Financials'!C49</f>
        <v>-463.25500000000102</v>
      </c>
      <c r="G49" s="134"/>
      <c r="H49" s="133">
        <f>C49+F49</f>
        <v>23498.125</v>
      </c>
      <c r="J49" s="125" t="s">
        <v>139</v>
      </c>
    </row>
    <row r="50" spans="1:10" ht="14.5" customHeight="1" x14ac:dyDescent="0.35">
      <c r="A50" s="135" t="s">
        <v>138</v>
      </c>
      <c r="B50" s="128">
        <v>26816.6</v>
      </c>
      <c r="C50" s="128">
        <f t="shared" ref="C50" si="3">SUBTOTAL(9,C47:C49)</f>
        <v>23961.38</v>
      </c>
      <c r="D50" s="127"/>
      <c r="E50" s="129"/>
      <c r="F50" s="128">
        <f>SUBTOTAL(9,F47:F49)</f>
        <v>-463.25500000000102</v>
      </c>
      <c r="G50" s="129"/>
      <c r="H50" s="128">
        <f>SUBTOTAL(9,H47:H49)</f>
        <v>23498.125</v>
      </c>
      <c r="J50" s="125"/>
    </row>
    <row r="51" spans="1:10" ht="10.4" customHeight="1" x14ac:dyDescent="0.35">
      <c r="B51" s="129"/>
      <c r="C51" s="129"/>
      <c r="D51" s="127"/>
      <c r="E51" s="129"/>
      <c r="F51" s="129"/>
      <c r="G51" s="129"/>
      <c r="H51" s="129"/>
      <c r="J51" s="125"/>
    </row>
    <row r="52" spans="1:10" ht="14.5" hidden="1" customHeight="1" outlineLevel="1" x14ac:dyDescent="0.35">
      <c r="A52" s="15"/>
      <c r="B52" s="126">
        <v>0</v>
      </c>
      <c r="C52" s="126">
        <f>IFERROR(INDEX([1]PF_Input!$B$9:$F$89,MATCH($A52,[1]PF_Input!$B$9:$B$89,0),MATCH(C$3,[1]PF_Input!$B$5:$F$5,0)),0)</f>
        <v>0</v>
      </c>
      <c r="D52" s="127"/>
      <c r="E52" s="129"/>
      <c r="F52" s="126">
        <v>0</v>
      </c>
      <c r="G52" s="129"/>
      <c r="H52" s="128"/>
      <c r="J52" s="125"/>
    </row>
    <row r="53" spans="1:10" ht="14.5" hidden="1" customHeight="1" outlineLevel="1" x14ac:dyDescent="0.35">
      <c r="A53" s="15"/>
      <c r="B53" s="126">
        <v>0</v>
      </c>
      <c r="C53" s="126">
        <f>IFERROR(INDEX([1]PF_Input!$B$9:$F$89,MATCH($A53,[1]PF_Input!$B$9:$B$89,0),MATCH(C$3,[1]PF_Input!$B$5:$F$5,0)),0)</f>
        <v>0</v>
      </c>
      <c r="D53" s="127"/>
      <c r="E53" s="129"/>
      <c r="F53" s="126">
        <v>0</v>
      </c>
      <c r="G53" s="129"/>
      <c r="H53" s="128"/>
      <c r="J53" s="125"/>
    </row>
    <row r="54" spans="1:10" ht="14.5" customHeight="1" collapsed="1" x14ac:dyDescent="0.35">
      <c r="A54" s="130" t="s">
        <v>140</v>
      </c>
      <c r="B54" s="131">
        <v>1850</v>
      </c>
      <c r="C54" s="131">
        <f>IFERROR(INDEX([1]PF_Input!$B$9:$F$89,MATCH($A54,[1]PF_Input!$B$9:$B$89,0),MATCH(C$3,[1]PF_Input!$B$5:$F$5,0)),0)</f>
        <v>0</v>
      </c>
      <c r="D54" s="132"/>
      <c r="E54" s="134"/>
      <c r="F54" s="131">
        <f>'Employee Roster'!AB26</f>
        <v>12200</v>
      </c>
      <c r="G54" s="134"/>
      <c r="H54" s="133">
        <f>C54+F54</f>
        <v>12200</v>
      </c>
      <c r="J54" s="125" t="s">
        <v>141</v>
      </c>
    </row>
    <row r="55" spans="1:10" ht="14.5" customHeight="1" x14ac:dyDescent="0.35">
      <c r="A55" s="135" t="s">
        <v>142</v>
      </c>
      <c r="B55" s="128">
        <v>1850</v>
      </c>
      <c r="C55" s="128">
        <f t="shared" ref="C55" si="4">SUBTOTAL(9,C52:C54)</f>
        <v>0</v>
      </c>
      <c r="D55" s="127"/>
      <c r="E55" s="129"/>
      <c r="F55" s="128">
        <f>SUBTOTAL(9,F52:F54)</f>
        <v>12200</v>
      </c>
      <c r="G55" s="129"/>
      <c r="H55" s="128">
        <f>SUBTOTAL(9,H52:H54)</f>
        <v>12200</v>
      </c>
      <c r="J55" s="125"/>
    </row>
    <row r="56" spans="1:10" ht="10.4" customHeight="1" thickBot="1" x14ac:dyDescent="0.4">
      <c r="B56" s="137"/>
      <c r="C56" s="137"/>
      <c r="D56" s="137"/>
      <c r="E56" s="137"/>
      <c r="F56" s="137"/>
      <c r="G56" s="137"/>
      <c r="H56" s="137"/>
      <c r="J56" s="125"/>
    </row>
    <row r="57" spans="1:10" ht="15" customHeight="1" x14ac:dyDescent="0.35">
      <c r="A57" s="143" t="s">
        <v>143</v>
      </c>
      <c r="B57" s="144">
        <v>28666.6</v>
      </c>
      <c r="C57" s="144">
        <f t="shared" ref="C57" si="5">SUBTOTAL(9,C42:C55)</f>
        <v>23961.38</v>
      </c>
      <c r="D57" s="144"/>
      <c r="E57" s="144"/>
      <c r="F57" s="144">
        <f>SUBTOTAL(9,F42:F55)</f>
        <v>46536.744999999995</v>
      </c>
      <c r="G57" s="144"/>
      <c r="H57" s="145">
        <f>SUBTOTAL(9,H42:H55)</f>
        <v>70498.125</v>
      </c>
      <c r="J57" s="125"/>
    </row>
    <row r="58" spans="1:10" ht="15" customHeight="1" thickBot="1" x14ac:dyDescent="0.4">
      <c r="A58" s="146" t="s">
        <v>144</v>
      </c>
      <c r="B58" s="147">
        <v>351219.35</v>
      </c>
      <c r="C58" s="147">
        <f>SUBTOTAL(9,C31:C55)</f>
        <v>332211.68000000005</v>
      </c>
      <c r="D58" s="147"/>
      <c r="E58" s="147"/>
      <c r="F58" s="147">
        <f>SUBTOTAL(9,F31:F55)</f>
        <v>98536.444999999978</v>
      </c>
      <c r="G58" s="147"/>
      <c r="H58" s="148">
        <f>SUBTOTAL(9,H31:H55)</f>
        <v>430748.125</v>
      </c>
      <c r="J58" s="125"/>
    </row>
    <row r="59" spans="1:10" ht="10.4" customHeight="1" x14ac:dyDescent="0.35">
      <c r="B59" s="137"/>
      <c r="C59" s="137"/>
      <c r="D59" s="137"/>
      <c r="E59" s="137"/>
      <c r="F59" s="137"/>
      <c r="G59" s="137"/>
      <c r="H59" s="137"/>
      <c r="J59" s="125"/>
    </row>
    <row r="60" spans="1:10" ht="14.5" customHeight="1" x14ac:dyDescent="0.35">
      <c r="A60" s="15" t="s">
        <v>23</v>
      </c>
      <c r="B60" s="126">
        <v>3479.88</v>
      </c>
      <c r="C60" s="126">
        <f>'June-26 TTM '!B26</f>
        <v>5098</v>
      </c>
      <c r="D60" s="127"/>
      <c r="E60" s="129"/>
      <c r="F60" s="126">
        <v>0</v>
      </c>
      <c r="G60" s="129"/>
      <c r="H60" s="128">
        <f>C60+F60</f>
        <v>5098</v>
      </c>
      <c r="J60" s="125"/>
    </row>
    <row r="61" spans="1:10" ht="14.5" customHeight="1" x14ac:dyDescent="0.35">
      <c r="A61" s="15" t="s">
        <v>24</v>
      </c>
      <c r="B61" s="126">
        <v>33.75</v>
      </c>
      <c r="C61" s="126">
        <f>'June-26 TTM '!B27</f>
        <v>18.05</v>
      </c>
      <c r="D61" s="127"/>
      <c r="E61" s="129"/>
      <c r="F61" s="126">
        <v>0</v>
      </c>
      <c r="G61" s="129"/>
      <c r="H61" s="128">
        <f t="shared" ref="H61:H66" si="6">C61+F61</f>
        <v>18.05</v>
      </c>
      <c r="J61" s="125"/>
    </row>
    <row r="62" spans="1:10" ht="14.5" customHeight="1" x14ac:dyDescent="0.35">
      <c r="A62" s="15" t="s">
        <v>41</v>
      </c>
      <c r="B62" s="126">
        <v>791.78</v>
      </c>
      <c r="C62" s="126">
        <f>'June-26 TTM '!B44</f>
        <v>791.78</v>
      </c>
      <c r="D62" s="127"/>
      <c r="E62" s="129"/>
      <c r="F62" s="126">
        <v>0</v>
      </c>
      <c r="G62" s="129"/>
      <c r="H62" s="128">
        <f t="shared" si="6"/>
        <v>791.78</v>
      </c>
      <c r="J62" s="125"/>
    </row>
    <row r="63" spans="1:10" ht="14.5" customHeight="1" x14ac:dyDescent="0.35">
      <c r="A63" s="15" t="s">
        <v>42</v>
      </c>
      <c r="B63" s="126">
        <v>6890.65</v>
      </c>
      <c r="C63" s="126">
        <f>'June-26 TTM '!B45</f>
        <v>14971.31</v>
      </c>
      <c r="D63" s="127"/>
      <c r="E63" s="129"/>
      <c r="F63" s="126">
        <v>0</v>
      </c>
      <c r="G63" s="129"/>
      <c r="H63" s="128">
        <f t="shared" si="6"/>
        <v>14971.31</v>
      </c>
      <c r="J63" s="125"/>
    </row>
    <row r="64" spans="1:10" ht="14.5" customHeight="1" x14ac:dyDescent="0.35">
      <c r="A64" s="15" t="s">
        <v>43</v>
      </c>
      <c r="B64" s="126">
        <v>5738.11</v>
      </c>
      <c r="C64" s="126">
        <f>'June-26 TTM '!B46</f>
        <v>5567.91</v>
      </c>
      <c r="D64" s="127"/>
      <c r="E64" s="129"/>
      <c r="F64" s="126">
        <v>0</v>
      </c>
      <c r="G64" s="129"/>
      <c r="H64" s="128">
        <f t="shared" si="6"/>
        <v>5567.91</v>
      </c>
      <c r="J64" s="125"/>
    </row>
    <row r="65" spans="1:10" ht="14.5" customHeight="1" x14ac:dyDescent="0.35">
      <c r="A65" s="15" t="s">
        <v>44</v>
      </c>
      <c r="B65" s="126">
        <v>1779.1</v>
      </c>
      <c r="C65" s="126">
        <f>'June-26 TTM '!B47</f>
        <v>2018.49</v>
      </c>
      <c r="D65" s="127"/>
      <c r="E65" s="129"/>
      <c r="F65" s="126">
        <v>0</v>
      </c>
      <c r="G65" s="129"/>
      <c r="H65" s="128">
        <f t="shared" si="6"/>
        <v>2018.49</v>
      </c>
      <c r="J65" s="125"/>
    </row>
    <row r="66" spans="1:10" ht="14.5" customHeight="1" x14ac:dyDescent="0.35">
      <c r="A66" s="130" t="s">
        <v>145</v>
      </c>
      <c r="B66" s="131">
        <v>94</v>
      </c>
      <c r="C66" s="131">
        <f>'June-26 TTM '!B56</f>
        <v>175</v>
      </c>
      <c r="D66" s="132"/>
      <c r="E66" s="134"/>
      <c r="F66" s="131">
        <v>0</v>
      </c>
      <c r="G66" s="134"/>
      <c r="H66" s="133">
        <f t="shared" si="6"/>
        <v>175</v>
      </c>
      <c r="J66" s="125"/>
    </row>
    <row r="67" spans="1:10" ht="14.5" customHeight="1" x14ac:dyDescent="0.35">
      <c r="A67" s="135" t="s">
        <v>146</v>
      </c>
      <c r="B67" s="128">
        <v>18807.269999999997</v>
      </c>
      <c r="C67" s="128">
        <f t="shared" ref="C67" si="7">SUBTOTAL(9,C60:C66)</f>
        <v>28640.54</v>
      </c>
      <c r="D67" s="127"/>
      <c r="E67" s="129"/>
      <c r="F67" s="128">
        <f>SUBTOTAL(9,F60:F66)</f>
        <v>0</v>
      </c>
      <c r="G67" s="129"/>
      <c r="H67" s="128">
        <f>SUBTOTAL(9,H60:H66)</f>
        <v>28640.54</v>
      </c>
      <c r="J67" s="125"/>
    </row>
    <row r="68" spans="1:10" ht="10.4" customHeight="1" x14ac:dyDescent="0.35">
      <c r="A68" s="136"/>
      <c r="B68" s="129"/>
      <c r="C68" s="129"/>
      <c r="D68" s="127"/>
      <c r="E68" s="129"/>
      <c r="F68" s="129"/>
      <c r="G68" s="129"/>
      <c r="H68" s="129"/>
      <c r="J68" s="125"/>
    </row>
    <row r="69" spans="1:10" ht="14.5" customHeight="1" x14ac:dyDescent="0.35">
      <c r="A69" s="130" t="s">
        <v>54</v>
      </c>
      <c r="B69" s="131">
        <v>0</v>
      </c>
      <c r="C69" s="131">
        <f>'June-26 TTM '!B57</f>
        <v>52.15</v>
      </c>
      <c r="D69" s="132"/>
      <c r="E69" s="134"/>
      <c r="F69" s="131">
        <v>0</v>
      </c>
      <c r="G69" s="134"/>
      <c r="H69" s="133">
        <f t="shared" ref="H69" si="8">C69+F69</f>
        <v>52.15</v>
      </c>
      <c r="J69" s="125"/>
    </row>
    <row r="70" spans="1:10" ht="14.5" customHeight="1" x14ac:dyDescent="0.35">
      <c r="A70" s="135" t="s">
        <v>147</v>
      </c>
      <c r="B70" s="128">
        <v>0</v>
      </c>
      <c r="C70" s="128">
        <f>SUBTOTAL(9,C69:C69)</f>
        <v>52.15</v>
      </c>
      <c r="D70" s="127"/>
      <c r="E70" s="129"/>
      <c r="F70" s="128">
        <f>SUBTOTAL(9,F69:F69)</f>
        <v>0</v>
      </c>
      <c r="G70" s="129"/>
      <c r="H70" s="128">
        <f>SUBTOTAL(9,H69:H69)</f>
        <v>52.15</v>
      </c>
      <c r="J70" s="125"/>
    </row>
    <row r="71" spans="1:10" ht="10.4" customHeight="1" x14ac:dyDescent="0.35">
      <c r="B71" s="129"/>
      <c r="C71" s="129"/>
      <c r="D71" s="127"/>
      <c r="E71" s="129"/>
      <c r="F71" s="129"/>
      <c r="G71" s="129"/>
      <c r="H71" s="129"/>
      <c r="J71" s="125"/>
    </row>
    <row r="72" spans="1:10" ht="14.5" hidden="1" customHeight="1" outlineLevel="1" x14ac:dyDescent="0.35">
      <c r="A72" s="15"/>
      <c r="B72" s="126">
        <v>0</v>
      </c>
      <c r="C72" s="126">
        <f>IFERROR(INDEX([1]PF_Input!$B$9:$F$89,MATCH($A72,[1]PF_Input!$B$9:$B$89,0),MATCH(C$3,[1]PF_Input!$B$5:$F$5,0)),0)</f>
        <v>0</v>
      </c>
      <c r="D72" s="127"/>
      <c r="E72" s="129"/>
      <c r="F72" s="126">
        <v>0</v>
      </c>
      <c r="G72" s="129"/>
      <c r="H72" s="128">
        <f t="shared" ref="H72:H74" si="9">C72+F72</f>
        <v>0</v>
      </c>
      <c r="J72" s="125"/>
    </row>
    <row r="73" spans="1:10" ht="14.5" hidden="1" customHeight="1" outlineLevel="1" x14ac:dyDescent="0.35">
      <c r="A73" s="15"/>
      <c r="B73" s="126">
        <v>0</v>
      </c>
      <c r="C73" s="126">
        <f>IFERROR(INDEX([1]PF_Input!$B$9:$F$89,MATCH($A73,[1]PF_Input!$B$9:$B$89,0),MATCH(C$3,[1]PF_Input!$B$5:$F$5,0)),0)</f>
        <v>0</v>
      </c>
      <c r="D73" s="127"/>
      <c r="E73" s="129"/>
      <c r="F73" s="126">
        <v>0</v>
      </c>
      <c r="G73" s="129"/>
      <c r="H73" s="128">
        <f t="shared" si="9"/>
        <v>0</v>
      </c>
      <c r="J73" s="125"/>
    </row>
    <row r="74" spans="1:10" ht="14.5" customHeight="1" collapsed="1" x14ac:dyDescent="0.35">
      <c r="A74" s="130" t="s">
        <v>148</v>
      </c>
      <c r="B74" s="131">
        <v>1280.7</v>
      </c>
      <c r="C74" s="131">
        <f>'June-26 TTM '!B11</f>
        <v>510.76</v>
      </c>
      <c r="D74" s="132"/>
      <c r="E74" s="134"/>
      <c r="F74" s="131">
        <v>0</v>
      </c>
      <c r="G74" s="134"/>
      <c r="H74" s="133">
        <f t="shared" si="9"/>
        <v>510.76</v>
      </c>
      <c r="J74" s="125"/>
    </row>
    <row r="75" spans="1:10" ht="14.5" customHeight="1" x14ac:dyDescent="0.35">
      <c r="A75" s="135" t="s">
        <v>149</v>
      </c>
      <c r="B75" s="128">
        <v>1280.7</v>
      </c>
      <c r="C75" s="128">
        <f t="shared" ref="C75" si="10">SUBTOTAL(9,C72:C74)</f>
        <v>510.76</v>
      </c>
      <c r="D75" s="127"/>
      <c r="E75" s="129"/>
      <c r="F75" s="128">
        <f>SUBTOTAL(9,F72:F74)</f>
        <v>0</v>
      </c>
      <c r="G75" s="129"/>
      <c r="H75" s="128">
        <f>SUBTOTAL(9,H72:H74)</f>
        <v>510.76</v>
      </c>
      <c r="J75" s="125"/>
    </row>
    <row r="76" spans="1:10" ht="10.4" customHeight="1" thickBot="1" x14ac:dyDescent="0.4">
      <c r="A76" s="136"/>
      <c r="B76" s="141"/>
      <c r="C76" s="141"/>
      <c r="D76" s="127"/>
      <c r="E76" s="129"/>
      <c r="F76" s="141"/>
      <c r="G76" s="129"/>
      <c r="H76" s="141"/>
      <c r="J76" s="125"/>
    </row>
    <row r="77" spans="1:10" ht="15" customHeight="1" thickBot="1" x14ac:dyDescent="0.4">
      <c r="A77" s="138" t="s">
        <v>150</v>
      </c>
      <c r="B77" s="139">
        <v>20087.969999999998</v>
      </c>
      <c r="C77" s="139">
        <f>SUBTOTAL(9,C60:C75)</f>
        <v>29203.45</v>
      </c>
      <c r="D77" s="139"/>
      <c r="E77" s="139"/>
      <c r="F77" s="139">
        <f>SUBTOTAL(9,F60:F75)</f>
        <v>0</v>
      </c>
      <c r="G77" s="139"/>
      <c r="H77" s="140">
        <f>SUBTOTAL(9,H60:H75)</f>
        <v>29203.45</v>
      </c>
      <c r="J77" s="125"/>
    </row>
    <row r="78" spans="1:10" ht="10.4" customHeight="1" x14ac:dyDescent="0.35">
      <c r="A78" s="136"/>
      <c r="B78" s="141"/>
      <c r="C78" s="141"/>
      <c r="D78" s="127"/>
      <c r="E78" s="129"/>
      <c r="F78" s="141"/>
      <c r="G78" s="129"/>
      <c r="H78" s="141"/>
      <c r="J78" s="125"/>
    </row>
    <row r="79" spans="1:10" ht="14.5" customHeight="1" x14ac:dyDescent="0.35">
      <c r="A79" s="15" t="s">
        <v>39</v>
      </c>
      <c r="B79" s="126">
        <v>679.78</v>
      </c>
      <c r="C79" s="126">
        <f>'June-26 TTM '!B43</f>
        <v>6122.28</v>
      </c>
      <c r="D79" s="127"/>
      <c r="E79" s="129"/>
      <c r="F79" s="126">
        <f>18000-C79</f>
        <v>11877.720000000001</v>
      </c>
      <c r="G79" s="129"/>
      <c r="H79" s="128">
        <f t="shared" ref="H79:H81" si="11">C79+F79</f>
        <v>18000</v>
      </c>
      <c r="J79" s="125" t="s">
        <v>694</v>
      </c>
    </row>
    <row r="80" spans="1:10" ht="14.5" customHeight="1" x14ac:dyDescent="0.35">
      <c r="A80" s="15" t="s">
        <v>151</v>
      </c>
      <c r="B80" s="126">
        <v>340.42</v>
      </c>
      <c r="C80" s="126">
        <f>'June-26 TTM '!B29</f>
        <v>340.42</v>
      </c>
      <c r="D80" s="127"/>
      <c r="E80" s="129"/>
      <c r="F80" s="126">
        <f>-C80</f>
        <v>-340.42</v>
      </c>
      <c r="G80" s="129"/>
      <c r="H80" s="128">
        <f t="shared" si="11"/>
        <v>0</v>
      </c>
      <c r="J80" s="125"/>
    </row>
    <row r="81" spans="1:10" ht="14.5" hidden="1" customHeight="1" outlineLevel="1" x14ac:dyDescent="0.35">
      <c r="A81" s="130"/>
      <c r="B81" s="131">
        <v>0</v>
      </c>
      <c r="C81" s="131">
        <f>IFERROR(INDEX([1]PF_Input!$B$9:$F$89,MATCH($A81,[1]PF_Input!$B$9:$B$89,0),MATCH(C$3,[1]PF_Input!$B$5:$F$5,0)),0)</f>
        <v>0</v>
      </c>
      <c r="D81" s="132"/>
      <c r="E81" s="134"/>
      <c r="F81" s="131">
        <v>0</v>
      </c>
      <c r="G81" s="134"/>
      <c r="H81" s="133">
        <f t="shared" si="11"/>
        <v>0</v>
      </c>
      <c r="J81" s="125"/>
    </row>
    <row r="82" spans="1:10" ht="14.5" customHeight="1" collapsed="1" x14ac:dyDescent="0.35">
      <c r="A82" s="151" t="s">
        <v>152</v>
      </c>
      <c r="B82" s="152">
        <v>1020.2</v>
      </c>
      <c r="C82" s="152">
        <f t="shared" ref="C82" si="12">SUBTOTAL(9,C79:C81)</f>
        <v>6462.7</v>
      </c>
      <c r="D82" s="153"/>
      <c r="E82" s="154"/>
      <c r="F82" s="152">
        <f>SUBTOTAL(9,F79:F81)</f>
        <v>11537.300000000001</v>
      </c>
      <c r="G82" s="154"/>
      <c r="H82" s="152">
        <f>SUBTOTAL(9,H79:H81)</f>
        <v>18000</v>
      </c>
      <c r="J82" s="125"/>
    </row>
    <row r="83" spans="1:10" ht="10.4" customHeight="1" x14ac:dyDescent="0.35">
      <c r="A83" s="136"/>
      <c r="B83" s="129"/>
      <c r="C83" s="129"/>
      <c r="D83" s="127"/>
      <c r="E83" s="129"/>
      <c r="F83" s="129"/>
      <c r="G83" s="129"/>
      <c r="H83" s="129"/>
      <c r="J83" s="125"/>
    </row>
    <row r="84" spans="1:10" ht="14.5" customHeight="1" x14ac:dyDescent="0.35">
      <c r="A84" s="15" t="s">
        <v>153</v>
      </c>
      <c r="B84" s="126">
        <v>5940.56</v>
      </c>
      <c r="C84" s="126">
        <f>'June-26 TTM '!B23</f>
        <v>4007.78</v>
      </c>
      <c r="D84" s="127"/>
      <c r="E84" s="129"/>
      <c r="F84" s="126">
        <v>0</v>
      </c>
      <c r="G84" s="129"/>
      <c r="H84" s="128">
        <f t="shared" ref="H84:H87" si="13">C84+F84</f>
        <v>4007.78</v>
      </c>
      <c r="J84" s="125"/>
    </row>
    <row r="85" spans="1:10" ht="14.5" customHeight="1" x14ac:dyDescent="0.35">
      <c r="A85" s="15" t="s">
        <v>154</v>
      </c>
      <c r="B85" s="126">
        <v>3948.01</v>
      </c>
      <c r="C85" s="126">
        <f>'June-26 TTM '!B24</f>
        <v>5295.51</v>
      </c>
      <c r="D85" s="127"/>
      <c r="E85" s="129"/>
      <c r="F85" s="126">
        <v>0</v>
      </c>
      <c r="G85" s="129"/>
      <c r="H85" s="128">
        <f t="shared" si="13"/>
        <v>5295.51</v>
      </c>
      <c r="J85" s="125"/>
    </row>
    <row r="86" spans="1:10" ht="14.5" customHeight="1" x14ac:dyDescent="0.35">
      <c r="A86" s="15" t="s">
        <v>19</v>
      </c>
      <c r="B86" s="126"/>
      <c r="C86" s="126">
        <f>'June-26 TTM '!B22</f>
        <v>97.85</v>
      </c>
      <c r="D86" s="127"/>
      <c r="E86" s="129"/>
      <c r="F86" s="126"/>
      <c r="G86" s="129"/>
      <c r="H86" s="128">
        <f t="shared" si="13"/>
        <v>97.85</v>
      </c>
      <c r="J86" s="125"/>
    </row>
    <row r="87" spans="1:10" ht="14.5" customHeight="1" x14ac:dyDescent="0.35">
      <c r="A87" s="130" t="s">
        <v>37</v>
      </c>
      <c r="B87" s="131">
        <v>3600.36</v>
      </c>
      <c r="C87" s="131">
        <f>'June-26 TTM '!B40</f>
        <v>2705.8</v>
      </c>
      <c r="D87" s="132"/>
      <c r="E87" s="134"/>
      <c r="F87" s="131">
        <v>0</v>
      </c>
      <c r="G87" s="134"/>
      <c r="H87" s="133">
        <f t="shared" si="13"/>
        <v>2705.8</v>
      </c>
      <c r="J87" s="125"/>
    </row>
    <row r="88" spans="1:10" ht="14.5" customHeight="1" x14ac:dyDescent="0.35">
      <c r="A88" s="135" t="s">
        <v>155</v>
      </c>
      <c r="B88" s="128">
        <v>13488.93</v>
      </c>
      <c r="C88" s="128">
        <f t="shared" ref="C88" si="14">SUBTOTAL(9,C84:C87)</f>
        <v>12106.940000000002</v>
      </c>
      <c r="D88" s="127"/>
      <c r="E88" s="129"/>
      <c r="F88" s="128">
        <f>SUBTOTAL(9,F84:F87)</f>
        <v>0</v>
      </c>
      <c r="G88" s="129"/>
      <c r="H88" s="128">
        <f>SUBTOTAL(9,H84:H87)</f>
        <v>12106.940000000002</v>
      </c>
      <c r="J88" s="125"/>
    </row>
    <row r="89" spans="1:10" ht="10.4" customHeight="1" x14ac:dyDescent="0.35">
      <c r="B89" s="129"/>
      <c r="C89" s="129"/>
      <c r="D89" s="127"/>
      <c r="E89" s="129"/>
      <c r="F89" s="129"/>
      <c r="G89" s="129"/>
      <c r="H89" s="129"/>
      <c r="J89" s="125"/>
    </row>
    <row r="90" spans="1:10" ht="14.5" hidden="1" customHeight="1" outlineLevel="1" x14ac:dyDescent="0.35">
      <c r="A90" s="15"/>
      <c r="B90" s="126">
        <v>0</v>
      </c>
      <c r="C90" s="126">
        <f>IFERROR(INDEX([1]PF_Input!$B$9:$F$89,MATCH($A90,[1]PF_Input!$B$9:$B$89,0),MATCH(C$3,[1]PF_Input!$B$5:$F$5,0)),0)</f>
        <v>0</v>
      </c>
      <c r="D90" s="127"/>
      <c r="E90" s="129"/>
      <c r="F90" s="126">
        <v>0</v>
      </c>
      <c r="G90" s="129"/>
      <c r="H90" s="128">
        <f t="shared" ref="H90:H92" si="15">C90+F90</f>
        <v>0</v>
      </c>
      <c r="J90" s="125"/>
    </row>
    <row r="91" spans="1:10" ht="14.5" hidden="1" customHeight="1" outlineLevel="1" x14ac:dyDescent="0.35">
      <c r="A91" s="15"/>
      <c r="B91" s="126">
        <v>0</v>
      </c>
      <c r="C91" s="126">
        <f>IFERROR(INDEX([1]PF_Input!$B$9:$F$89,MATCH($A91,[1]PF_Input!$B$9:$B$89,0),MATCH(C$3,[1]PF_Input!$B$5:$F$5,0)),0)</f>
        <v>0</v>
      </c>
      <c r="D91" s="127"/>
      <c r="E91" s="129"/>
      <c r="F91" s="126">
        <v>0</v>
      </c>
      <c r="G91" s="129"/>
      <c r="H91" s="128">
        <f t="shared" si="15"/>
        <v>0</v>
      </c>
      <c r="J91" s="125"/>
    </row>
    <row r="92" spans="1:10" ht="14.5" customHeight="1" collapsed="1" x14ac:dyDescent="0.35">
      <c r="A92" s="130" t="s">
        <v>156</v>
      </c>
      <c r="B92" s="131">
        <v>17124.09</v>
      </c>
      <c r="C92" s="131">
        <f>'June-26 TTM '!B32</f>
        <v>24553.15</v>
      </c>
      <c r="D92" s="132"/>
      <c r="E92" s="134"/>
      <c r="F92" s="131">
        <v>0</v>
      </c>
      <c r="G92" s="134"/>
      <c r="H92" s="133">
        <f t="shared" si="15"/>
        <v>24553.15</v>
      </c>
      <c r="J92" s="125"/>
    </row>
    <row r="93" spans="1:10" ht="14.5" customHeight="1" x14ac:dyDescent="0.35">
      <c r="A93" s="135" t="s">
        <v>157</v>
      </c>
      <c r="B93" s="128">
        <v>17124.09</v>
      </c>
      <c r="C93" s="128">
        <f t="shared" ref="C93" si="16">SUBTOTAL(9,C90:C92)</f>
        <v>24553.15</v>
      </c>
      <c r="D93" s="127"/>
      <c r="E93" s="129"/>
      <c r="F93" s="128">
        <f>SUBTOTAL(9,F90:F92)</f>
        <v>0</v>
      </c>
      <c r="G93" s="129"/>
      <c r="H93" s="128">
        <f>SUBTOTAL(9,H90:H92)</f>
        <v>24553.15</v>
      </c>
      <c r="J93" s="125"/>
    </row>
    <row r="94" spans="1:10" ht="10.4" customHeight="1" x14ac:dyDescent="0.35">
      <c r="B94" s="137"/>
      <c r="C94" s="137"/>
      <c r="D94" s="137"/>
      <c r="E94" s="137"/>
      <c r="F94" s="137"/>
      <c r="G94" s="137"/>
      <c r="H94" s="137"/>
      <c r="J94" s="125"/>
    </row>
    <row r="95" spans="1:10" ht="14.5" customHeight="1" x14ac:dyDescent="0.35">
      <c r="A95" s="15" t="s">
        <v>7</v>
      </c>
      <c r="B95" s="126">
        <v>1313.97</v>
      </c>
      <c r="C95" s="126">
        <f>'June-26 TTM '!B12</f>
        <v>1871.7</v>
      </c>
      <c r="D95" s="127"/>
      <c r="E95" s="129"/>
      <c r="F95" s="126">
        <v>0</v>
      </c>
      <c r="G95" s="129"/>
      <c r="H95" s="128">
        <f t="shared" ref="H95:H97" si="17">C95+F95</f>
        <v>1871.7</v>
      </c>
      <c r="J95" s="125"/>
    </row>
    <row r="96" spans="1:10" ht="14.5" customHeight="1" x14ac:dyDescent="0.35">
      <c r="A96" s="15" t="s">
        <v>158</v>
      </c>
      <c r="B96" s="126">
        <v>6366</v>
      </c>
      <c r="C96" s="126">
        <f>'June-26 TTM '!B13</f>
        <v>6147</v>
      </c>
      <c r="D96" s="127"/>
      <c r="E96" s="129"/>
      <c r="F96" s="126">
        <v>0</v>
      </c>
      <c r="G96" s="129"/>
      <c r="H96" s="128">
        <f t="shared" si="17"/>
        <v>6147</v>
      </c>
      <c r="J96" s="125"/>
    </row>
    <row r="97" spans="1:10" ht="14.5" customHeight="1" x14ac:dyDescent="0.35">
      <c r="A97" s="130" t="s">
        <v>159</v>
      </c>
      <c r="B97" s="131">
        <v>99</v>
      </c>
      <c r="C97" s="131">
        <f>'June-26 TTM '!B19</f>
        <v>99</v>
      </c>
      <c r="D97" s="132"/>
      <c r="E97" s="134"/>
      <c r="F97" s="131">
        <v>0</v>
      </c>
      <c r="G97" s="134"/>
      <c r="H97" s="133">
        <f t="shared" si="17"/>
        <v>99</v>
      </c>
      <c r="J97" s="125"/>
    </row>
    <row r="98" spans="1:10" ht="14.5" customHeight="1" x14ac:dyDescent="0.35">
      <c r="A98" s="135" t="s">
        <v>160</v>
      </c>
      <c r="B98" s="128">
        <v>7778.97</v>
      </c>
      <c r="C98" s="128">
        <f t="shared" ref="C98" si="18">SUBTOTAL(9,C95:C97)</f>
        <v>8117.7</v>
      </c>
      <c r="D98" s="127"/>
      <c r="E98" s="129"/>
      <c r="F98" s="128">
        <f>SUBTOTAL(9,F95:F97)</f>
        <v>0</v>
      </c>
      <c r="G98" s="129"/>
      <c r="H98" s="128">
        <f>SUBTOTAL(9,H95:H97)</f>
        <v>8117.7</v>
      </c>
      <c r="J98" s="125"/>
    </row>
    <row r="99" spans="1:10" ht="10.4" customHeight="1" x14ac:dyDescent="0.35">
      <c r="A99" s="136"/>
      <c r="B99" s="129"/>
      <c r="C99" s="129"/>
      <c r="D99" s="127"/>
      <c r="E99" s="129"/>
      <c r="F99" s="129"/>
      <c r="G99" s="129"/>
      <c r="H99" s="129"/>
      <c r="J99" s="125"/>
    </row>
    <row r="100" spans="1:10" ht="14.5" hidden="1" customHeight="1" outlineLevel="1" x14ac:dyDescent="0.35">
      <c r="A100" s="15"/>
      <c r="B100" s="126">
        <v>0</v>
      </c>
      <c r="C100" s="126">
        <f>IFERROR(INDEX([1]PF_Input!$B$9:$F$89,MATCH($A100,[1]PF_Input!$B$9:$B$89,0),MATCH(C$3,[1]PF_Input!$B$5:$F$5,0)),0)</f>
        <v>0</v>
      </c>
      <c r="D100" s="127"/>
      <c r="E100" s="129"/>
      <c r="F100" s="126">
        <v>0</v>
      </c>
      <c r="G100" s="129"/>
      <c r="H100" s="128">
        <f t="shared" ref="H100:H102" si="19">C100+F100</f>
        <v>0</v>
      </c>
      <c r="J100" s="125"/>
    </row>
    <row r="101" spans="1:10" ht="14.5" hidden="1" customHeight="1" outlineLevel="1" x14ac:dyDescent="0.35">
      <c r="A101" s="15"/>
      <c r="B101" s="126">
        <v>0</v>
      </c>
      <c r="C101" s="126">
        <f>IFERROR(INDEX([1]PF_Input!$B$9:$F$89,MATCH($A101,[1]PF_Input!$B$9:$B$89,0),MATCH(C$3,[1]PF_Input!$B$5:$F$5,0)),0)</f>
        <v>0</v>
      </c>
      <c r="D101" s="127"/>
      <c r="E101" s="129"/>
      <c r="F101" s="126">
        <v>0</v>
      </c>
      <c r="G101" s="129"/>
      <c r="H101" s="128">
        <f t="shared" si="19"/>
        <v>0</v>
      </c>
      <c r="J101" s="125"/>
    </row>
    <row r="102" spans="1:10" ht="14.5" customHeight="1" collapsed="1" x14ac:dyDescent="0.35">
      <c r="A102" s="155" t="s">
        <v>18</v>
      </c>
      <c r="B102" s="131">
        <v>3386.02</v>
      </c>
      <c r="C102" s="131">
        <f>'June-26 TTM '!B21</f>
        <v>9381.85</v>
      </c>
      <c r="D102" s="132"/>
      <c r="E102" s="134"/>
      <c r="F102" s="131">
        <v>0</v>
      </c>
      <c r="G102" s="134"/>
      <c r="H102" s="133">
        <f t="shared" si="19"/>
        <v>9381.85</v>
      </c>
      <c r="J102" s="125"/>
    </row>
    <row r="103" spans="1:10" ht="14.5" customHeight="1" x14ac:dyDescent="0.35">
      <c r="A103" s="135" t="s">
        <v>161</v>
      </c>
      <c r="B103" s="128">
        <v>3386.02</v>
      </c>
      <c r="C103" s="128">
        <f t="shared" ref="C103" si="20">SUBTOTAL(9,C100:C102)</f>
        <v>9381.85</v>
      </c>
      <c r="D103" s="127"/>
      <c r="E103" s="129"/>
      <c r="F103" s="128">
        <f>SUBTOTAL(9,F100:F102)</f>
        <v>0</v>
      </c>
      <c r="G103" s="129"/>
      <c r="H103" s="128">
        <f>SUBTOTAL(9,H100:H102)</f>
        <v>9381.85</v>
      </c>
      <c r="J103" s="125"/>
    </row>
    <row r="104" spans="1:10" ht="10.4" customHeight="1" x14ac:dyDescent="0.35">
      <c r="B104" s="129"/>
      <c r="C104" s="129"/>
      <c r="D104" s="127"/>
      <c r="E104" s="129"/>
      <c r="F104" s="129"/>
      <c r="G104" s="129"/>
      <c r="H104" s="129"/>
      <c r="J104" s="125"/>
    </row>
    <row r="105" spans="1:10" ht="10.4" customHeight="1" x14ac:dyDescent="0.35">
      <c r="B105" s="137"/>
      <c r="C105" s="137"/>
      <c r="D105" s="137"/>
      <c r="E105" s="137"/>
      <c r="F105" s="137"/>
      <c r="G105" s="137"/>
      <c r="H105" s="137"/>
      <c r="J105" s="125"/>
    </row>
    <row r="106" spans="1:10" ht="14.5" hidden="1" customHeight="1" outlineLevel="1" x14ac:dyDescent="0.35">
      <c r="A106" s="15"/>
      <c r="B106" s="126">
        <v>0</v>
      </c>
      <c r="C106" s="126">
        <f>IFERROR(INDEX([1]PF_Input!$B$9:$F$89,MATCH($A106,[1]PF_Input!$B$9:$B$89,0),MATCH(C$3,[1]PF_Input!$B$5:$F$5,0)),0)</f>
        <v>0</v>
      </c>
      <c r="D106" s="127"/>
      <c r="E106" s="129"/>
      <c r="F106" s="126">
        <v>0</v>
      </c>
      <c r="G106" s="129"/>
      <c r="H106" s="128">
        <f t="shared" ref="H106:H108" si="21">C106+F106</f>
        <v>0</v>
      </c>
      <c r="J106" s="125"/>
    </row>
    <row r="107" spans="1:10" ht="14.5" hidden="1" customHeight="1" outlineLevel="1" x14ac:dyDescent="0.35">
      <c r="A107" s="15"/>
      <c r="B107" s="126">
        <v>0</v>
      </c>
      <c r="C107" s="126">
        <f>IFERROR(INDEX([1]PF_Input!$B$9:$F$89,MATCH($A107,[1]PF_Input!$B$9:$B$89,0),MATCH(C$3,[1]PF_Input!$B$5:$F$5,0)),0)</f>
        <v>0</v>
      </c>
      <c r="D107" s="127"/>
      <c r="E107" s="129"/>
      <c r="F107" s="126">
        <v>0</v>
      </c>
      <c r="G107" s="129"/>
      <c r="H107" s="128">
        <f t="shared" si="21"/>
        <v>0</v>
      </c>
      <c r="J107" s="125"/>
    </row>
    <row r="108" spans="1:10" ht="14.5" customHeight="1" collapsed="1" x14ac:dyDescent="0.35">
      <c r="A108" s="130" t="s">
        <v>162</v>
      </c>
      <c r="B108" s="131">
        <v>1927.27</v>
      </c>
      <c r="C108" s="131">
        <f>'June-26 TTM '!B18</f>
        <v>7652.27</v>
      </c>
      <c r="D108" s="132"/>
      <c r="E108" s="134"/>
      <c r="F108" s="131">
        <v>0</v>
      </c>
      <c r="G108" s="134"/>
      <c r="H108" s="133">
        <f t="shared" si="21"/>
        <v>7652.27</v>
      </c>
      <c r="J108" s="125"/>
    </row>
    <row r="109" spans="1:10" ht="14.5" customHeight="1" x14ac:dyDescent="0.35">
      <c r="A109" s="135" t="s">
        <v>163</v>
      </c>
      <c r="B109" s="128">
        <v>1927.27</v>
      </c>
      <c r="C109" s="128">
        <f t="shared" ref="C109" si="22">SUBTOTAL(9,C106:C108)</f>
        <v>7652.27</v>
      </c>
      <c r="D109" s="127"/>
      <c r="E109" s="129"/>
      <c r="F109" s="128">
        <f>SUBTOTAL(9,F106:F108)</f>
        <v>0</v>
      </c>
      <c r="G109" s="129"/>
      <c r="H109" s="128">
        <f>SUBTOTAL(9,H106:H108)</f>
        <v>7652.27</v>
      </c>
      <c r="J109" s="125"/>
    </row>
    <row r="110" spans="1:10" ht="10.4" customHeight="1" x14ac:dyDescent="0.35">
      <c r="A110" s="136"/>
      <c r="B110" s="129"/>
      <c r="C110" s="129"/>
      <c r="D110" s="127"/>
      <c r="E110" s="129"/>
      <c r="F110" s="129"/>
      <c r="G110" s="129"/>
      <c r="H110" s="129"/>
      <c r="J110" s="125"/>
    </row>
    <row r="111" spans="1:10" ht="10.4" customHeight="1" x14ac:dyDescent="0.35">
      <c r="A111" s="136"/>
      <c r="B111" s="129"/>
      <c r="C111" s="129"/>
      <c r="D111" s="127"/>
      <c r="E111" s="129"/>
      <c r="F111" s="129"/>
      <c r="G111" s="129"/>
      <c r="H111" s="129"/>
      <c r="J111" s="125"/>
    </row>
    <row r="112" spans="1:10" ht="14.5" customHeight="1" x14ac:dyDescent="0.35">
      <c r="A112" s="15" t="s">
        <v>164</v>
      </c>
      <c r="B112" s="126">
        <v>457.72</v>
      </c>
      <c r="C112" s="126">
        <f>'June-26 TTM '!B15</f>
        <v>457.72</v>
      </c>
      <c r="D112" s="127"/>
      <c r="E112" s="129"/>
      <c r="F112" s="126">
        <v>0</v>
      </c>
      <c r="G112" s="129"/>
      <c r="H112" s="128">
        <f>C112+F112</f>
        <v>457.72</v>
      </c>
      <c r="J112" s="125"/>
    </row>
    <row r="113" spans="1:12" ht="14.5" customHeight="1" x14ac:dyDescent="0.35">
      <c r="A113" s="15" t="s">
        <v>13</v>
      </c>
      <c r="B113" s="126">
        <v>14.35</v>
      </c>
      <c r="C113" s="126">
        <f>'June-26 TTM '!B16</f>
        <v>14.35</v>
      </c>
      <c r="D113" s="127"/>
      <c r="E113" s="129"/>
      <c r="F113" s="126">
        <v>0</v>
      </c>
      <c r="G113" s="129"/>
      <c r="H113" s="128">
        <f t="shared" ref="H113:H118" si="23">C113+F113</f>
        <v>14.35</v>
      </c>
      <c r="J113" s="125"/>
    </row>
    <row r="114" spans="1:12" ht="14.5" customHeight="1" x14ac:dyDescent="0.35">
      <c r="A114" s="15" t="s">
        <v>14</v>
      </c>
      <c r="B114" s="156">
        <v>290.82</v>
      </c>
      <c r="C114" s="156">
        <f>'June-26 TTM '!B17</f>
        <v>242.16</v>
      </c>
      <c r="D114" s="127"/>
      <c r="E114" s="129"/>
      <c r="F114" s="126">
        <v>0</v>
      </c>
      <c r="G114" s="129"/>
      <c r="H114" s="128">
        <f t="shared" si="23"/>
        <v>242.16</v>
      </c>
      <c r="J114" s="125"/>
    </row>
    <row r="115" spans="1:12" ht="14.5" customHeight="1" x14ac:dyDescent="0.35">
      <c r="A115" s="15" t="s">
        <v>165</v>
      </c>
      <c r="B115" s="156">
        <v>497.17</v>
      </c>
      <c r="C115" s="156">
        <f>'June-26 TTM '!B30</f>
        <v>3389.49</v>
      </c>
      <c r="D115" s="127"/>
      <c r="E115" s="129"/>
      <c r="F115" s="126">
        <v>0</v>
      </c>
      <c r="G115" s="129"/>
      <c r="H115" s="128">
        <f t="shared" si="23"/>
        <v>3389.49</v>
      </c>
      <c r="J115" s="125"/>
    </row>
    <row r="116" spans="1:12" ht="14.5" customHeight="1" x14ac:dyDescent="0.35">
      <c r="A116" s="15" t="s">
        <v>166</v>
      </c>
      <c r="B116" s="156">
        <v>231.11</v>
      </c>
      <c r="C116" s="156">
        <f>'June-26 TTM '!B31</f>
        <v>233.61</v>
      </c>
      <c r="D116" s="127"/>
      <c r="E116" s="129"/>
      <c r="F116" s="126">
        <v>0</v>
      </c>
      <c r="G116" s="129"/>
      <c r="H116" s="128">
        <f t="shared" si="23"/>
        <v>233.61</v>
      </c>
      <c r="J116" s="125"/>
    </row>
    <row r="117" spans="1:12" ht="14.5" customHeight="1" x14ac:dyDescent="0.35">
      <c r="A117" s="15" t="s">
        <v>33</v>
      </c>
      <c r="B117" s="156">
        <v>1241.75</v>
      </c>
      <c r="C117" s="156">
        <f>'June-26 TTM '!B36</f>
        <v>1047.0999999999999</v>
      </c>
      <c r="D117" s="127"/>
      <c r="E117" s="129"/>
      <c r="F117" s="126">
        <v>0</v>
      </c>
      <c r="G117" s="129"/>
      <c r="H117" s="128">
        <f t="shared" si="23"/>
        <v>1047.0999999999999</v>
      </c>
      <c r="J117" s="125"/>
    </row>
    <row r="118" spans="1:12" ht="14.5" customHeight="1" outlineLevel="1" x14ac:dyDescent="0.35">
      <c r="A118" s="130" t="s">
        <v>186</v>
      </c>
      <c r="B118" s="131">
        <v>0</v>
      </c>
      <c r="C118" s="131">
        <f>'June-26 TTM '!B14</f>
        <v>4150</v>
      </c>
      <c r="D118" s="132"/>
      <c r="E118" s="134"/>
      <c r="F118" s="131">
        <f>-C118</f>
        <v>-4150</v>
      </c>
      <c r="G118" s="134"/>
      <c r="H118" s="133">
        <f t="shared" si="23"/>
        <v>0</v>
      </c>
      <c r="J118" s="125" t="s">
        <v>692</v>
      </c>
    </row>
    <row r="119" spans="1:12" ht="14.5" customHeight="1" x14ac:dyDescent="0.35">
      <c r="A119" s="135" t="s">
        <v>167</v>
      </c>
      <c r="B119" s="128">
        <v>2732.92</v>
      </c>
      <c r="C119" s="128">
        <f>SUBTOTAL(9,C112:C118)</f>
        <v>9534.4299999999985</v>
      </c>
      <c r="D119" s="127"/>
      <c r="E119" s="129"/>
      <c r="F119" s="128">
        <f>SUBTOTAL(9,F112:F118)</f>
        <v>-4150</v>
      </c>
      <c r="G119" s="129"/>
      <c r="H119" s="128">
        <f>SUBTOTAL(9,H112:H118)</f>
        <v>5384.4299999999985</v>
      </c>
      <c r="J119" s="125"/>
    </row>
    <row r="120" spans="1:12" ht="10.4" customHeight="1" thickBot="1" x14ac:dyDescent="0.4">
      <c r="B120" s="129"/>
      <c r="C120" s="129"/>
      <c r="D120" s="127"/>
      <c r="E120" s="129"/>
      <c r="F120" s="129"/>
      <c r="G120" s="129"/>
      <c r="H120" s="129"/>
      <c r="J120" s="125"/>
    </row>
    <row r="121" spans="1:12" ht="15" customHeight="1" thickBot="1" x14ac:dyDescent="0.4">
      <c r="A121" s="138" t="s">
        <v>168</v>
      </c>
      <c r="B121" s="139">
        <v>47458.399999999994</v>
      </c>
      <c r="C121" s="139">
        <f>SUBTOTAL(9,C79:C119)</f>
        <v>77809.040000000023</v>
      </c>
      <c r="D121" s="139"/>
      <c r="E121" s="139"/>
      <c r="F121" s="139">
        <f>SUBTOTAL(9,F79:F119)</f>
        <v>7387.3000000000011</v>
      </c>
      <c r="G121" s="139"/>
      <c r="H121" s="140">
        <f>SUBTOTAL(9,H79:H119)</f>
        <v>85196.340000000026</v>
      </c>
      <c r="J121" s="125"/>
    </row>
    <row r="122" spans="1:12" ht="10.4" customHeight="1" thickBot="1" x14ac:dyDescent="0.4">
      <c r="B122" s="157"/>
      <c r="C122" s="157"/>
      <c r="D122" s="127"/>
      <c r="E122" s="141"/>
      <c r="F122" s="157"/>
      <c r="G122" s="141"/>
      <c r="H122" s="128"/>
      <c r="J122" s="125"/>
    </row>
    <row r="123" spans="1:12" ht="15" customHeight="1" x14ac:dyDescent="0.35">
      <c r="A123" s="158" t="s">
        <v>169</v>
      </c>
      <c r="B123" s="144">
        <v>-2802.5899999999674</v>
      </c>
      <c r="C123" s="144">
        <f>C28-C58-C77-C121</f>
        <v>130184.36999999995</v>
      </c>
      <c r="D123" s="144"/>
      <c r="E123" s="144"/>
      <c r="F123" s="144">
        <f>F28-F58-F77-F121</f>
        <v>-19295.572350000017</v>
      </c>
      <c r="G123" s="144"/>
      <c r="H123" s="145">
        <f>H28-H58-H77-H121</f>
        <v>110888.79764999996</v>
      </c>
      <c r="J123" s="125"/>
      <c r="K123" s="92"/>
      <c r="L123" s="37"/>
    </row>
    <row r="124" spans="1:12" ht="15" customHeight="1" thickBot="1" x14ac:dyDescent="0.4">
      <c r="A124" s="159" t="s">
        <v>170</v>
      </c>
      <c r="B124" s="160">
        <v>-6.7375923438213556E-3</v>
      </c>
      <c r="C124" s="160">
        <f>C123/C28</f>
        <v>0.22863087020085779</v>
      </c>
      <c r="D124" s="160"/>
      <c r="E124" s="160"/>
      <c r="F124" s="160"/>
      <c r="G124" s="160"/>
      <c r="H124" s="161">
        <f>H123/H28</f>
        <v>0.16902834172507641</v>
      </c>
      <c r="J124" s="125"/>
      <c r="K124" s="92"/>
      <c r="L124" s="37"/>
    </row>
    <row r="125" spans="1:12" ht="10.4" customHeight="1" x14ac:dyDescent="0.35">
      <c r="B125" s="162"/>
      <c r="C125" s="162"/>
      <c r="H125" s="137"/>
      <c r="J125" s="125"/>
    </row>
    <row r="126" spans="1:12" ht="14.5" customHeight="1" x14ac:dyDescent="0.35">
      <c r="A126" s="164" t="s">
        <v>171</v>
      </c>
      <c r="B126" s="126">
        <v>0</v>
      </c>
      <c r="C126" s="126">
        <f>IFERROR(INDEX([1]PF_Input!$B$9:$F$89,MATCH($A126,[1]PF_Input!$B$9:$B$89,0),MATCH(C$3,[1]PF_Input!$B$5:$F$5,0)),0)</f>
        <v>0</v>
      </c>
      <c r="D126" s="127"/>
      <c r="E126" s="129"/>
      <c r="F126" s="126">
        <f>H28*1%</f>
        <v>6560.3671265000003</v>
      </c>
      <c r="G126" s="129"/>
      <c r="H126" s="128">
        <f>C126+F126</f>
        <v>6560.3671265000003</v>
      </c>
      <c r="J126" s="125"/>
    </row>
    <row r="127" spans="1:12" ht="14.5" customHeight="1" x14ac:dyDescent="0.35">
      <c r="A127" s="164" t="s">
        <v>172</v>
      </c>
      <c r="B127" s="126">
        <v>206</v>
      </c>
      <c r="C127" s="126">
        <f>IFERROR(INDEX([1]PF_Input!$B$9:$F$89,MATCH($A127,[1]PF_Input!$B$9:$B$89,0),MATCH(C$3,[1]PF_Input!$B$5:$F$5,0)),0)</f>
        <v>0</v>
      </c>
      <c r="D127" s="127"/>
      <c r="E127" s="129"/>
      <c r="F127" s="126"/>
      <c r="G127" s="129"/>
      <c r="H127" s="128">
        <f t="shared" ref="H127:H129" si="24">C127+F127</f>
        <v>0</v>
      </c>
      <c r="J127" s="125"/>
    </row>
    <row r="128" spans="1:12" ht="14.5" customHeight="1" x14ac:dyDescent="0.35">
      <c r="A128" s="164" t="s">
        <v>173</v>
      </c>
      <c r="B128" s="126">
        <v>-205</v>
      </c>
      <c r="C128" s="126">
        <f>IFERROR(INDEX([1]PF_Input!$B$9:$F$89,MATCH($A128,[1]PF_Input!$B$9:$B$89,0),MATCH(C$3,[1]PF_Input!$B$5:$F$5,0)),0)</f>
        <v>0</v>
      </c>
      <c r="D128" s="127"/>
      <c r="E128" s="129"/>
      <c r="F128" s="126"/>
      <c r="G128" s="129"/>
      <c r="H128" s="128">
        <f t="shared" si="24"/>
        <v>0</v>
      </c>
      <c r="J128" s="125"/>
    </row>
    <row r="129" spans="1:10" ht="14.5" customHeight="1" x14ac:dyDescent="0.35">
      <c r="A129" s="165" t="s">
        <v>174</v>
      </c>
      <c r="B129" s="131">
        <v>0</v>
      </c>
      <c r="C129" s="131">
        <f>IFERROR(INDEX([1]PF_Input!$B$9:$F$89,MATCH($A129,[1]PF_Input!$B$9:$B$89,0),MATCH(C$3,[1]PF_Input!$B$5:$F$5,0)),0)</f>
        <v>0</v>
      </c>
      <c r="D129" s="132"/>
      <c r="E129" s="134"/>
      <c r="F129" s="131">
        <v>0</v>
      </c>
      <c r="G129" s="134"/>
      <c r="H129" s="133">
        <f t="shared" si="24"/>
        <v>0</v>
      </c>
      <c r="J129" s="125"/>
    </row>
    <row r="130" spans="1:10" ht="14.5" customHeight="1" x14ac:dyDescent="0.35">
      <c r="A130" s="135" t="s">
        <v>175</v>
      </c>
      <c r="B130" s="128">
        <v>1</v>
      </c>
      <c r="C130" s="128">
        <f t="shared" ref="C130" si="25">SUBTOTAL(9,C126:C129)</f>
        <v>0</v>
      </c>
      <c r="D130" s="127"/>
      <c r="E130" s="129"/>
      <c r="F130" s="128">
        <f>SUBTOTAL(9,F126:F129)</f>
        <v>6560.3671265000003</v>
      </c>
      <c r="G130" s="129"/>
      <c r="H130" s="128">
        <f>SUBTOTAL(9,H126:H129)</f>
        <v>6560.3671265000003</v>
      </c>
      <c r="J130" s="125"/>
    </row>
    <row r="131" spans="1:10" ht="10.4" customHeight="1" thickBot="1" x14ac:dyDescent="0.4">
      <c r="B131" s="137"/>
      <c r="C131" s="137"/>
      <c r="D131" s="137"/>
      <c r="E131" s="137"/>
      <c r="F131" s="137"/>
      <c r="G131" s="137"/>
      <c r="H131" s="137"/>
      <c r="J131" s="125"/>
    </row>
    <row r="132" spans="1:10" ht="15" customHeight="1" thickBot="1" x14ac:dyDescent="0.4">
      <c r="A132" s="138" t="s">
        <v>47</v>
      </c>
      <c r="B132" s="139">
        <v>-2803.5899999999674</v>
      </c>
      <c r="C132" s="139">
        <f t="shared" ref="C132" si="26">+C123-C130</f>
        <v>130184.36999999995</v>
      </c>
      <c r="D132" s="139"/>
      <c r="E132" s="139"/>
      <c r="F132" s="139">
        <f>+F123-F130</f>
        <v>-25855.939476500018</v>
      </c>
      <c r="G132" s="139"/>
      <c r="H132" s="140">
        <f>+H123-H130</f>
        <v>104328.43052349996</v>
      </c>
      <c r="J132" s="125"/>
    </row>
    <row r="133" spans="1:10" ht="12" customHeight="1" x14ac:dyDescent="0.35">
      <c r="B133" s="166"/>
      <c r="C133" s="166"/>
      <c r="D133" s="137"/>
      <c r="J133" s="167"/>
    </row>
    <row r="134" spans="1:10" x14ac:dyDescent="0.35">
      <c r="A134" s="168" t="s">
        <v>94</v>
      </c>
      <c r="B134" s="169"/>
      <c r="C134" s="169">
        <f>'June-26 TTM '!B61</f>
        <v>130184.37000000002</v>
      </c>
      <c r="D134" s="169"/>
      <c r="J134" s="167"/>
    </row>
    <row r="135" spans="1:10" x14ac:dyDescent="0.35">
      <c r="A135" s="168" t="s">
        <v>176</v>
      </c>
      <c r="B135" s="169">
        <v>0</v>
      </c>
      <c r="C135" s="169">
        <f t="shared" ref="C135" si="27">ROUND(C132-C134,0)</f>
        <v>0</v>
      </c>
      <c r="D135" s="169"/>
      <c r="J135" s="167"/>
    </row>
    <row r="136" spans="1:10" ht="15.5" x14ac:dyDescent="0.35">
      <c r="B136" s="124"/>
      <c r="C136" s="124"/>
    </row>
    <row r="137" spans="1:10" x14ac:dyDescent="0.35">
      <c r="B137" s="137"/>
      <c r="C137" s="137"/>
    </row>
    <row r="138" spans="1:10" x14ac:dyDescent="0.35">
      <c r="B138" s="170"/>
      <c r="C138" s="170"/>
    </row>
    <row r="139" spans="1:10" x14ac:dyDescent="0.35">
      <c r="H139" s="163"/>
    </row>
  </sheetData>
  <pageMargins left="0.25" right="0.25" top="0.75" bottom="0.75" header="0.3" footer="0.3"/>
  <pageSetup scale="72" fitToHeight="0" orientation="landscape" r:id="rId1"/>
  <rowBreaks count="4" manualBreakCount="4">
    <brk id="29" max="16383" man="1"/>
    <brk id="59" max="16383" man="1"/>
    <brk id="78" max="15" man="1"/>
    <brk id="13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97FEB-4B46-4E35-85C3-B276E00F3186}">
  <dimension ref="A1:K324"/>
  <sheetViews>
    <sheetView topLeftCell="A51" zoomScale="90" zoomScaleNormal="90" workbookViewId="0">
      <selection sqref="A1:XFD1"/>
    </sheetView>
  </sheetViews>
  <sheetFormatPr defaultRowHeight="15.5" x14ac:dyDescent="0.35"/>
  <cols>
    <col min="1" max="1" width="24.83203125" style="13" customWidth="1"/>
    <col min="2" max="2" width="15.6640625" style="13" customWidth="1"/>
    <col min="3" max="3" width="14.25" style="13" customWidth="1"/>
    <col min="4" max="4" width="22.75" style="13" customWidth="1"/>
    <col min="5" max="5" width="15.5" style="13" customWidth="1"/>
    <col min="6" max="6" width="10.83203125" style="13" customWidth="1"/>
    <col min="7" max="7" width="13.1640625" style="13" customWidth="1"/>
    <col min="8" max="8" width="13.25" style="13" customWidth="1"/>
    <col min="9" max="9" width="15.6640625" style="13" customWidth="1"/>
    <col min="10" max="10" width="14.58203125" style="293" customWidth="1"/>
    <col min="11" max="11" width="12.9140625" style="293" customWidth="1"/>
    <col min="12" max="16384" width="8.6640625" style="13"/>
  </cols>
  <sheetData>
    <row r="1" spans="1:11" ht="28" x14ac:dyDescent="0.35">
      <c r="A1" s="180" t="s">
        <v>420</v>
      </c>
      <c r="B1" s="181" t="s">
        <v>421</v>
      </c>
      <c r="C1" s="180" t="s">
        <v>188</v>
      </c>
      <c r="D1" s="180" t="s">
        <v>189</v>
      </c>
      <c r="E1" s="180" t="s">
        <v>190</v>
      </c>
      <c r="F1" s="180" t="s">
        <v>191</v>
      </c>
      <c r="G1" s="182" t="s">
        <v>192</v>
      </c>
      <c r="H1" s="183" t="s">
        <v>193</v>
      </c>
      <c r="I1" s="184" t="s">
        <v>422</v>
      </c>
      <c r="J1" s="185" t="s">
        <v>423</v>
      </c>
      <c r="K1" s="185" t="s">
        <v>424</v>
      </c>
    </row>
    <row r="2" spans="1:11" ht="14.5" x14ac:dyDescent="0.35">
      <c r="A2" s="186" t="s">
        <v>425</v>
      </c>
      <c r="B2" s="187">
        <v>45658</v>
      </c>
      <c r="C2" s="186" t="s">
        <v>426</v>
      </c>
      <c r="D2" s="186"/>
      <c r="E2" s="186" t="s">
        <v>427</v>
      </c>
      <c r="F2" s="186"/>
      <c r="G2" s="188">
        <v>100000</v>
      </c>
      <c r="H2" s="189">
        <v>10000</v>
      </c>
      <c r="I2" s="183"/>
      <c r="J2" s="315"/>
      <c r="K2" s="316"/>
    </row>
    <row r="3" spans="1:11" ht="14.5" x14ac:dyDescent="0.35">
      <c r="A3" s="186" t="s">
        <v>428</v>
      </c>
      <c r="B3" s="187">
        <v>44562</v>
      </c>
      <c r="C3" s="186" t="s">
        <v>194</v>
      </c>
      <c r="D3" s="186" t="s">
        <v>195</v>
      </c>
      <c r="E3" s="190" t="s">
        <v>204</v>
      </c>
      <c r="F3" s="186" t="s">
        <v>196</v>
      </c>
      <c r="G3" s="191">
        <v>13125</v>
      </c>
      <c r="H3" s="183"/>
      <c r="I3" s="183"/>
      <c r="J3" s="317"/>
      <c r="K3" s="318"/>
    </row>
    <row r="4" spans="1:11" ht="14.5" x14ac:dyDescent="0.35">
      <c r="A4" s="186" t="s">
        <v>429</v>
      </c>
      <c r="B4" s="187">
        <v>44562</v>
      </c>
      <c r="C4" s="186" t="s">
        <v>194</v>
      </c>
      <c r="D4" s="186" t="s">
        <v>195</v>
      </c>
      <c r="E4" s="190" t="s">
        <v>204</v>
      </c>
      <c r="F4" s="186" t="s">
        <v>196</v>
      </c>
      <c r="G4" s="191">
        <v>8925</v>
      </c>
      <c r="H4" s="183"/>
      <c r="I4" s="183"/>
      <c r="J4" s="317"/>
      <c r="K4" s="318"/>
    </row>
    <row r="5" spans="1:11" ht="14.5" x14ac:dyDescent="0.35">
      <c r="A5" s="186" t="s">
        <v>430</v>
      </c>
      <c r="B5" s="187">
        <v>44927</v>
      </c>
      <c r="C5" s="186" t="s">
        <v>194</v>
      </c>
      <c r="D5" s="186" t="s">
        <v>195</v>
      </c>
      <c r="E5" s="186" t="s">
        <v>431</v>
      </c>
      <c r="F5" s="192" t="s">
        <v>196</v>
      </c>
      <c r="G5" s="191">
        <v>2625</v>
      </c>
      <c r="H5" s="193"/>
      <c r="I5" s="193"/>
      <c r="J5" s="317"/>
      <c r="K5" s="318"/>
    </row>
    <row r="6" spans="1:11" ht="14.5" x14ac:dyDescent="0.35">
      <c r="A6" s="190" t="s">
        <v>432</v>
      </c>
      <c r="B6" s="187">
        <v>44930</v>
      </c>
      <c r="C6" s="190" t="s">
        <v>433</v>
      </c>
      <c r="D6" s="190" t="s">
        <v>197</v>
      </c>
      <c r="E6" s="190" t="s">
        <v>204</v>
      </c>
      <c r="F6" s="194" t="s">
        <v>196</v>
      </c>
      <c r="G6" s="195">
        <v>1700</v>
      </c>
      <c r="H6" s="193">
        <f>G6*0.12</f>
        <v>204</v>
      </c>
      <c r="I6" s="193"/>
      <c r="J6" s="317"/>
      <c r="K6" s="318"/>
    </row>
    <row r="7" spans="1:11" ht="28" x14ac:dyDescent="0.35">
      <c r="A7" s="190" t="s">
        <v>434</v>
      </c>
      <c r="B7" s="187">
        <v>46027</v>
      </c>
      <c r="C7" s="190" t="s">
        <v>435</v>
      </c>
      <c r="D7" s="190" t="s">
        <v>199</v>
      </c>
      <c r="E7" s="190" t="s">
        <v>204</v>
      </c>
      <c r="F7" s="194" t="s">
        <v>196</v>
      </c>
      <c r="G7" s="195">
        <v>6291</v>
      </c>
      <c r="H7" s="193">
        <f>G7*12.5%</f>
        <v>786.375</v>
      </c>
      <c r="I7" s="321"/>
      <c r="J7" s="317"/>
      <c r="K7" s="318"/>
    </row>
    <row r="8" spans="1:11" ht="14.5" x14ac:dyDescent="0.35">
      <c r="A8" s="190" t="s">
        <v>434</v>
      </c>
      <c r="B8" s="187">
        <v>46027</v>
      </c>
      <c r="C8" s="190" t="s">
        <v>220</v>
      </c>
      <c r="D8" s="190" t="s">
        <v>436</v>
      </c>
      <c r="E8" s="190" t="s">
        <v>204</v>
      </c>
      <c r="F8" s="194" t="s">
        <v>246</v>
      </c>
      <c r="G8" s="195">
        <v>2520</v>
      </c>
      <c r="H8" s="193">
        <f>G8*12.5%</f>
        <v>315</v>
      </c>
      <c r="I8" s="322"/>
      <c r="J8" s="317"/>
      <c r="K8" s="318"/>
    </row>
    <row r="9" spans="1:11" ht="14.5" x14ac:dyDescent="0.35">
      <c r="A9" s="190" t="s">
        <v>434</v>
      </c>
      <c r="B9" s="187">
        <v>46027</v>
      </c>
      <c r="C9" s="190" t="s">
        <v>437</v>
      </c>
      <c r="D9" s="190" t="s">
        <v>438</v>
      </c>
      <c r="E9" s="190" t="s">
        <v>204</v>
      </c>
      <c r="F9" s="194" t="s">
        <v>196</v>
      </c>
      <c r="G9" s="195">
        <v>9589.9699999999993</v>
      </c>
      <c r="H9" s="193">
        <f>G9*12.5%</f>
        <v>1198.7462499999999</v>
      </c>
      <c r="I9" s="322"/>
      <c r="J9" s="317"/>
      <c r="K9" s="318"/>
    </row>
    <row r="10" spans="1:11" ht="14.5" x14ac:dyDescent="0.35">
      <c r="A10" s="190" t="s">
        <v>434</v>
      </c>
      <c r="B10" s="187">
        <v>46027</v>
      </c>
      <c r="C10" s="190" t="s">
        <v>437</v>
      </c>
      <c r="D10" s="190" t="s">
        <v>439</v>
      </c>
      <c r="E10" s="190" t="s">
        <v>204</v>
      </c>
      <c r="F10" s="194" t="s">
        <v>209</v>
      </c>
      <c r="G10" s="195">
        <v>4728.49</v>
      </c>
      <c r="H10" s="193">
        <f>G10*12.5%</f>
        <v>591.06124999999997</v>
      </c>
      <c r="I10" s="323"/>
      <c r="J10" s="317"/>
      <c r="K10" s="318"/>
    </row>
    <row r="11" spans="1:11" ht="14.5" x14ac:dyDescent="0.35">
      <c r="A11" s="190" t="s">
        <v>440</v>
      </c>
      <c r="B11" s="187">
        <v>44942</v>
      </c>
      <c r="C11" s="190" t="s">
        <v>198</v>
      </c>
      <c r="D11" s="190" t="s">
        <v>199</v>
      </c>
      <c r="E11" s="190" t="s">
        <v>441</v>
      </c>
      <c r="F11" s="194" t="s">
        <v>196</v>
      </c>
      <c r="G11" s="195">
        <v>44127.66</v>
      </c>
      <c r="H11" s="193">
        <f>G11*11.5%</f>
        <v>5074.6809000000003</v>
      </c>
      <c r="I11" s="193"/>
      <c r="J11" s="317"/>
      <c r="K11" s="318"/>
    </row>
    <row r="12" spans="1:11" ht="14.5" x14ac:dyDescent="0.35">
      <c r="A12" s="190" t="s">
        <v>440</v>
      </c>
      <c r="B12" s="187">
        <v>44942</v>
      </c>
      <c r="C12" s="190" t="s">
        <v>205</v>
      </c>
      <c r="D12" s="190" t="s">
        <v>200</v>
      </c>
      <c r="E12" s="190" t="s">
        <v>204</v>
      </c>
      <c r="F12" s="194" t="s">
        <v>201</v>
      </c>
      <c r="G12" s="195">
        <v>8546</v>
      </c>
      <c r="H12" s="193">
        <f>G12*12.5%</f>
        <v>1068.25</v>
      </c>
      <c r="I12" s="193"/>
      <c r="J12" s="317"/>
      <c r="K12" s="318"/>
    </row>
    <row r="13" spans="1:11" ht="14.5" x14ac:dyDescent="0.35">
      <c r="A13" s="190" t="s">
        <v>442</v>
      </c>
      <c r="B13" s="187">
        <v>45676</v>
      </c>
      <c r="C13" s="190" t="s">
        <v>202</v>
      </c>
      <c r="D13" s="190" t="s">
        <v>203</v>
      </c>
      <c r="E13" s="190" t="s">
        <v>204</v>
      </c>
      <c r="F13" s="194" t="s">
        <v>201</v>
      </c>
      <c r="G13" s="195">
        <v>48000</v>
      </c>
      <c r="H13" s="193">
        <f>G13*12.5%</f>
        <v>6000</v>
      </c>
      <c r="I13" s="193"/>
      <c r="J13" s="317"/>
      <c r="K13" s="318"/>
    </row>
    <row r="14" spans="1:11" ht="14.5" x14ac:dyDescent="0.35">
      <c r="A14" s="190" t="s">
        <v>442</v>
      </c>
      <c r="B14" s="187">
        <v>45676</v>
      </c>
      <c r="C14" s="190" t="s">
        <v>205</v>
      </c>
      <c r="D14" s="190" t="s">
        <v>203</v>
      </c>
      <c r="E14" s="190" t="s">
        <v>204</v>
      </c>
      <c r="F14" s="194" t="s">
        <v>443</v>
      </c>
      <c r="G14" s="195">
        <v>11649</v>
      </c>
      <c r="H14" s="193">
        <f>G14*12.5%</f>
        <v>1456.125</v>
      </c>
      <c r="I14" s="193"/>
      <c r="J14" s="317"/>
      <c r="K14" s="318"/>
    </row>
    <row r="15" spans="1:11" ht="14.5" x14ac:dyDescent="0.35">
      <c r="A15" s="190" t="s">
        <v>442</v>
      </c>
      <c r="B15" s="187">
        <v>45676</v>
      </c>
      <c r="C15" s="190" t="s">
        <v>207</v>
      </c>
      <c r="D15" s="190" t="s">
        <v>208</v>
      </c>
      <c r="E15" s="190" t="s">
        <v>204</v>
      </c>
      <c r="F15" s="194" t="s">
        <v>209</v>
      </c>
      <c r="G15" s="195">
        <v>11199.79</v>
      </c>
      <c r="H15" s="193">
        <f>G15*12.5%</f>
        <v>1399.9737500000001</v>
      </c>
      <c r="I15" s="193"/>
      <c r="J15" s="317"/>
      <c r="K15" s="318"/>
    </row>
    <row r="16" spans="1:11" ht="28" x14ac:dyDescent="0.35">
      <c r="A16" s="190" t="s">
        <v>444</v>
      </c>
      <c r="B16" s="187">
        <v>45683</v>
      </c>
      <c r="C16" s="190" t="s">
        <v>445</v>
      </c>
      <c r="D16" s="190" t="s">
        <v>237</v>
      </c>
      <c r="E16" s="190" t="s">
        <v>204</v>
      </c>
      <c r="F16" s="194" t="s">
        <v>201</v>
      </c>
      <c r="G16" s="195">
        <v>4200</v>
      </c>
      <c r="H16" s="193">
        <f>G16*12.5%</f>
        <v>525</v>
      </c>
      <c r="I16" s="193"/>
      <c r="J16" s="317"/>
      <c r="K16" s="318"/>
    </row>
    <row r="17" spans="1:11" ht="14.5" x14ac:dyDescent="0.35">
      <c r="A17" s="190" t="s">
        <v>446</v>
      </c>
      <c r="B17" s="187">
        <v>45684</v>
      </c>
      <c r="C17" s="190" t="s">
        <v>433</v>
      </c>
      <c r="D17" s="190" t="s">
        <v>197</v>
      </c>
      <c r="E17" s="190" t="s">
        <v>204</v>
      </c>
      <c r="F17" s="194" t="s">
        <v>196</v>
      </c>
      <c r="G17" s="195">
        <v>1031.75</v>
      </c>
      <c r="H17" s="193">
        <f t="shared" ref="H17:H18" si="0">G17*0.125</f>
        <v>128.96875</v>
      </c>
      <c r="I17" s="193"/>
      <c r="J17" s="317"/>
      <c r="K17" s="318"/>
    </row>
    <row r="18" spans="1:11" ht="14.5" x14ac:dyDescent="0.35">
      <c r="A18" s="190" t="s">
        <v>447</v>
      </c>
      <c r="B18" s="187">
        <v>46049</v>
      </c>
      <c r="C18" s="190" t="s">
        <v>445</v>
      </c>
      <c r="D18" s="190" t="s">
        <v>448</v>
      </c>
      <c r="E18" s="190" t="s">
        <v>449</v>
      </c>
      <c r="F18" s="194" t="s">
        <v>196</v>
      </c>
      <c r="G18" s="195">
        <v>8886.89</v>
      </c>
      <c r="H18" s="193">
        <f t="shared" si="0"/>
        <v>1110.8612499999999</v>
      </c>
      <c r="I18" s="193"/>
      <c r="J18" s="317"/>
      <c r="K18" s="318"/>
    </row>
    <row r="19" spans="1:11" ht="28" x14ac:dyDescent="0.35">
      <c r="A19" s="190" t="s">
        <v>450</v>
      </c>
      <c r="B19" s="187">
        <v>44955</v>
      </c>
      <c r="C19" s="190" t="s">
        <v>210</v>
      </c>
      <c r="D19" s="190" t="s">
        <v>211</v>
      </c>
      <c r="E19" s="190" t="s">
        <v>204</v>
      </c>
      <c r="F19" s="194" t="s">
        <v>196</v>
      </c>
      <c r="G19" s="195">
        <v>1538.74</v>
      </c>
      <c r="H19" s="193">
        <f>G19*0.125</f>
        <v>192.3425</v>
      </c>
      <c r="I19" s="193"/>
      <c r="J19" s="317"/>
      <c r="K19" s="318"/>
    </row>
    <row r="20" spans="1:11" ht="28" x14ac:dyDescent="0.35">
      <c r="A20" s="190" t="s">
        <v>450</v>
      </c>
      <c r="B20" s="187">
        <v>44955</v>
      </c>
      <c r="C20" s="190" t="s">
        <v>207</v>
      </c>
      <c r="D20" s="190" t="s">
        <v>208</v>
      </c>
      <c r="E20" s="190" t="s">
        <v>204</v>
      </c>
      <c r="F20" s="194" t="s">
        <v>196</v>
      </c>
      <c r="G20" s="195">
        <v>1048.9000000000001</v>
      </c>
      <c r="H20" s="193">
        <f>G20*0.125</f>
        <v>131.11250000000001</v>
      </c>
      <c r="I20" s="193"/>
      <c r="J20" s="317"/>
      <c r="K20" s="318"/>
    </row>
    <row r="21" spans="1:11" ht="28" x14ac:dyDescent="0.35">
      <c r="A21" s="190" t="s">
        <v>450</v>
      </c>
      <c r="B21" s="187">
        <v>44955</v>
      </c>
      <c r="C21" s="190" t="s">
        <v>212</v>
      </c>
      <c r="D21" s="190" t="s">
        <v>213</v>
      </c>
      <c r="E21" s="190" t="s">
        <v>204</v>
      </c>
      <c r="F21" s="194" t="s">
        <v>196</v>
      </c>
      <c r="G21" s="195">
        <v>869</v>
      </c>
      <c r="H21" s="193">
        <f>G21*12.5%</f>
        <v>108.625</v>
      </c>
      <c r="I21" s="193"/>
      <c r="J21" s="319"/>
      <c r="K21" s="320"/>
    </row>
    <row r="22" spans="1:11" ht="14.5" x14ac:dyDescent="0.35">
      <c r="A22" s="196"/>
      <c r="B22" s="197"/>
      <c r="C22" s="196"/>
      <c r="D22" s="196"/>
      <c r="E22" s="196"/>
      <c r="F22" s="198"/>
      <c r="G22" s="199"/>
      <c r="H22" s="200"/>
      <c r="I22" s="200">
        <f>SUM(H2:H22)</f>
        <v>30291.122149999999</v>
      </c>
      <c r="J22" s="201">
        <v>5975.05</v>
      </c>
      <c r="K22" s="201">
        <v>99.6</v>
      </c>
    </row>
    <row r="23" spans="1:11" ht="28" x14ac:dyDescent="0.35">
      <c r="A23" s="186" t="s">
        <v>451</v>
      </c>
      <c r="B23" s="187">
        <v>44959</v>
      </c>
      <c r="C23" s="186" t="s">
        <v>207</v>
      </c>
      <c r="D23" s="186" t="s">
        <v>251</v>
      </c>
      <c r="E23" s="186" t="s">
        <v>204</v>
      </c>
      <c r="F23" s="186" t="s">
        <v>201</v>
      </c>
      <c r="G23" s="191">
        <v>12000</v>
      </c>
      <c r="H23" s="202">
        <f>G23*11%</f>
        <v>1320</v>
      </c>
      <c r="I23" s="202"/>
      <c r="J23" s="203"/>
      <c r="K23" s="204"/>
    </row>
    <row r="24" spans="1:11" ht="28" x14ac:dyDescent="0.35">
      <c r="A24" s="186" t="s">
        <v>451</v>
      </c>
      <c r="B24" s="187" t="s">
        <v>452</v>
      </c>
      <c r="C24" s="186" t="s">
        <v>445</v>
      </c>
      <c r="D24" s="186" t="s">
        <v>453</v>
      </c>
      <c r="E24" s="186" t="s">
        <v>204</v>
      </c>
      <c r="F24" s="186" t="s">
        <v>209</v>
      </c>
      <c r="G24" s="191">
        <v>3747</v>
      </c>
      <c r="H24" s="202">
        <f>G24*12%</f>
        <v>449.64</v>
      </c>
      <c r="I24" s="202"/>
      <c r="J24" s="205"/>
      <c r="K24" s="206"/>
    </row>
    <row r="25" spans="1:11" ht="28" x14ac:dyDescent="0.35">
      <c r="A25" s="207" t="s">
        <v>454</v>
      </c>
      <c r="B25" s="187" t="s">
        <v>455</v>
      </c>
      <c r="C25" s="207" t="s">
        <v>244</v>
      </c>
      <c r="D25" s="186" t="s">
        <v>222</v>
      </c>
      <c r="E25" s="186" t="s">
        <v>441</v>
      </c>
      <c r="F25" s="207" t="s">
        <v>201</v>
      </c>
      <c r="G25" s="208">
        <v>106777</v>
      </c>
      <c r="H25" s="202">
        <f>G25*12%</f>
        <v>12813.24</v>
      </c>
      <c r="I25" s="202"/>
      <c r="J25" s="205"/>
      <c r="K25" s="206"/>
    </row>
    <row r="26" spans="1:11" ht="28" x14ac:dyDescent="0.35">
      <c r="A26" s="186" t="s">
        <v>456</v>
      </c>
      <c r="B26" s="187">
        <v>45693</v>
      </c>
      <c r="C26" s="186" t="s">
        <v>220</v>
      </c>
      <c r="D26" s="186" t="s">
        <v>221</v>
      </c>
      <c r="E26" s="186" t="s">
        <v>204</v>
      </c>
      <c r="F26" s="186" t="s">
        <v>196</v>
      </c>
      <c r="G26" s="191">
        <v>1856</v>
      </c>
      <c r="H26" s="202">
        <f>G26*12.5%</f>
        <v>232</v>
      </c>
      <c r="I26" s="202"/>
      <c r="J26" s="205"/>
      <c r="K26" s="206"/>
    </row>
    <row r="27" spans="1:11" ht="28" x14ac:dyDescent="0.35">
      <c r="A27" s="186" t="s">
        <v>457</v>
      </c>
      <c r="B27" s="187">
        <v>44964</v>
      </c>
      <c r="C27" s="186" t="s">
        <v>212</v>
      </c>
      <c r="D27" s="186" t="s">
        <v>222</v>
      </c>
      <c r="E27" s="186" t="s">
        <v>449</v>
      </c>
      <c r="F27" s="186" t="s">
        <v>196</v>
      </c>
      <c r="G27" s="191">
        <v>1775</v>
      </c>
      <c r="H27" s="193">
        <f>G27*12.5%</f>
        <v>221.875</v>
      </c>
      <c r="I27" s="193"/>
      <c r="J27" s="205"/>
      <c r="K27" s="206"/>
    </row>
    <row r="28" spans="1:11" ht="14.5" x14ac:dyDescent="0.35">
      <c r="A28" s="190" t="s">
        <v>458</v>
      </c>
      <c r="B28" s="187">
        <v>46073</v>
      </c>
      <c r="C28" s="190" t="s">
        <v>207</v>
      </c>
      <c r="D28" s="190" t="s">
        <v>251</v>
      </c>
      <c r="E28" s="190" t="s">
        <v>204</v>
      </c>
      <c r="F28" s="194" t="s">
        <v>196</v>
      </c>
      <c r="G28" s="195">
        <v>1295</v>
      </c>
      <c r="H28" s="193">
        <f>G28*12.5%</f>
        <v>161.875</v>
      </c>
      <c r="I28" s="193"/>
      <c r="J28" s="205"/>
      <c r="K28" s="206"/>
    </row>
    <row r="29" spans="1:11" ht="28" x14ac:dyDescent="0.35">
      <c r="A29" s="186" t="s">
        <v>459</v>
      </c>
      <c r="B29" s="187">
        <v>45342</v>
      </c>
      <c r="C29" s="186" t="s">
        <v>225</v>
      </c>
      <c r="D29" s="186" t="s">
        <v>460</v>
      </c>
      <c r="E29" s="186" t="s">
        <v>226</v>
      </c>
      <c r="F29" s="186" t="s">
        <v>201</v>
      </c>
      <c r="G29" s="191">
        <v>6313</v>
      </c>
      <c r="H29" s="202">
        <f>G29*0.1</f>
        <v>631.30000000000007</v>
      </c>
      <c r="I29" s="202"/>
      <c r="J29" s="205"/>
      <c r="K29" s="206"/>
    </row>
    <row r="30" spans="1:11" ht="14.5" x14ac:dyDescent="0.35">
      <c r="A30" s="186" t="s">
        <v>459</v>
      </c>
      <c r="B30" s="187">
        <v>46073</v>
      </c>
      <c r="C30" s="186" t="s">
        <v>461</v>
      </c>
      <c r="D30" s="186" t="s">
        <v>460</v>
      </c>
      <c r="E30" s="186" t="s">
        <v>462</v>
      </c>
      <c r="F30" s="186" t="s">
        <v>214</v>
      </c>
      <c r="G30" s="191"/>
      <c r="H30" s="202"/>
      <c r="I30" s="202"/>
      <c r="J30" s="205"/>
      <c r="K30" s="206"/>
    </row>
    <row r="31" spans="1:11" ht="28" x14ac:dyDescent="0.35">
      <c r="A31" s="186" t="s">
        <v>459</v>
      </c>
      <c r="B31" s="187">
        <v>46073</v>
      </c>
      <c r="C31" s="186" t="s">
        <v>223</v>
      </c>
      <c r="D31" s="186" t="s">
        <v>460</v>
      </c>
      <c r="E31" s="186" t="s">
        <v>463</v>
      </c>
      <c r="F31" s="192">
        <v>7761000</v>
      </c>
      <c r="G31" s="191">
        <v>45706</v>
      </c>
      <c r="H31" s="202">
        <v>6855.9</v>
      </c>
      <c r="I31" s="202"/>
      <c r="J31" s="205"/>
      <c r="K31" s="206"/>
    </row>
    <row r="32" spans="1:11" ht="14.5" x14ac:dyDescent="0.35">
      <c r="A32" s="186" t="s">
        <v>459</v>
      </c>
      <c r="B32" s="187">
        <v>45708</v>
      </c>
      <c r="C32" s="186" t="s">
        <v>224</v>
      </c>
      <c r="D32" s="186"/>
      <c r="E32" s="186"/>
      <c r="F32" s="192"/>
      <c r="G32" s="191"/>
      <c r="H32" s="193">
        <v>5000</v>
      </c>
      <c r="I32" s="193"/>
      <c r="J32" s="205"/>
      <c r="K32" s="206"/>
    </row>
    <row r="33" spans="1:11" ht="14.5" x14ac:dyDescent="0.35">
      <c r="A33" s="186" t="s">
        <v>464</v>
      </c>
      <c r="B33" s="187">
        <v>45344</v>
      </c>
      <c r="C33" s="186" t="s">
        <v>202</v>
      </c>
      <c r="D33" s="186" t="s">
        <v>227</v>
      </c>
      <c r="E33" s="186" t="s">
        <v>204</v>
      </c>
      <c r="F33" s="186" t="s">
        <v>228</v>
      </c>
      <c r="G33" s="191">
        <v>142500</v>
      </c>
      <c r="H33" s="202">
        <f t="shared" ref="H33:H43" si="1">G33*0.125</f>
        <v>17812.5</v>
      </c>
      <c r="I33" s="202"/>
      <c r="J33" s="205"/>
      <c r="K33" s="206"/>
    </row>
    <row r="34" spans="1:11" ht="14.5" x14ac:dyDescent="0.35">
      <c r="A34" s="186" t="s">
        <v>464</v>
      </c>
      <c r="B34" s="187">
        <v>45344</v>
      </c>
      <c r="C34" s="186" t="s">
        <v>202</v>
      </c>
      <c r="D34" s="186" t="s">
        <v>229</v>
      </c>
      <c r="E34" s="186" t="s">
        <v>204</v>
      </c>
      <c r="F34" s="186" t="s">
        <v>228</v>
      </c>
      <c r="G34" s="191">
        <v>71250</v>
      </c>
      <c r="H34" s="202">
        <f t="shared" si="1"/>
        <v>8906.25</v>
      </c>
      <c r="I34" s="202"/>
      <c r="J34" s="205"/>
      <c r="K34" s="206"/>
    </row>
    <row r="35" spans="1:11" ht="14.5" x14ac:dyDescent="0.35">
      <c r="A35" s="186" t="s">
        <v>464</v>
      </c>
      <c r="B35" s="187">
        <v>45344</v>
      </c>
      <c r="C35" s="186" t="s">
        <v>202</v>
      </c>
      <c r="D35" s="186" t="s">
        <v>230</v>
      </c>
      <c r="E35" s="186" t="s">
        <v>204</v>
      </c>
      <c r="F35" s="186" t="s">
        <v>201</v>
      </c>
      <c r="G35" s="191">
        <v>95562</v>
      </c>
      <c r="H35" s="202">
        <f t="shared" si="1"/>
        <v>11945.25</v>
      </c>
      <c r="I35" s="202"/>
      <c r="J35" s="205"/>
      <c r="K35" s="206"/>
    </row>
    <row r="36" spans="1:11" ht="14.5" x14ac:dyDescent="0.35">
      <c r="A36" s="186" t="s">
        <v>464</v>
      </c>
      <c r="B36" s="187">
        <v>45344</v>
      </c>
      <c r="C36" s="186" t="s">
        <v>202</v>
      </c>
      <c r="D36" s="186" t="s">
        <v>200</v>
      </c>
      <c r="E36" s="186" t="s">
        <v>204</v>
      </c>
      <c r="F36" s="186" t="s">
        <v>201</v>
      </c>
      <c r="G36" s="191">
        <v>67500</v>
      </c>
      <c r="H36" s="202">
        <f t="shared" si="1"/>
        <v>8437.5</v>
      </c>
      <c r="I36" s="202"/>
      <c r="J36" s="205"/>
      <c r="K36" s="206"/>
    </row>
    <row r="37" spans="1:11" ht="14.5" x14ac:dyDescent="0.35">
      <c r="A37" s="186" t="s">
        <v>464</v>
      </c>
      <c r="B37" s="187">
        <v>45344</v>
      </c>
      <c r="C37" s="186" t="s">
        <v>202</v>
      </c>
      <c r="D37" s="186" t="s">
        <v>231</v>
      </c>
      <c r="E37" s="186" t="s">
        <v>204</v>
      </c>
      <c r="F37" s="186" t="s">
        <v>201</v>
      </c>
      <c r="G37" s="191">
        <v>50250</v>
      </c>
      <c r="H37" s="202">
        <f t="shared" si="1"/>
        <v>6281.25</v>
      </c>
      <c r="I37" s="202"/>
      <c r="J37" s="205"/>
      <c r="K37" s="206"/>
    </row>
    <row r="38" spans="1:11" ht="28" x14ac:dyDescent="0.35">
      <c r="A38" s="186" t="s">
        <v>464</v>
      </c>
      <c r="B38" s="187">
        <v>45344</v>
      </c>
      <c r="C38" s="186" t="s">
        <v>202</v>
      </c>
      <c r="D38" s="186" t="s">
        <v>232</v>
      </c>
      <c r="E38" s="186" t="s">
        <v>204</v>
      </c>
      <c r="F38" s="186" t="s">
        <v>201</v>
      </c>
      <c r="G38" s="191">
        <v>40199.06</v>
      </c>
      <c r="H38" s="202">
        <f>G38*0.125</f>
        <v>5024.8824999999997</v>
      </c>
      <c r="I38" s="202"/>
      <c r="J38" s="205"/>
      <c r="K38" s="206"/>
    </row>
    <row r="39" spans="1:11" ht="14.5" x14ac:dyDescent="0.35">
      <c r="A39" s="186" t="s">
        <v>464</v>
      </c>
      <c r="B39" s="187">
        <v>45344</v>
      </c>
      <c r="C39" s="186" t="s">
        <v>202</v>
      </c>
      <c r="D39" s="186" t="s">
        <v>203</v>
      </c>
      <c r="E39" s="186" t="s">
        <v>204</v>
      </c>
      <c r="F39" s="186" t="s">
        <v>201</v>
      </c>
      <c r="G39" s="191">
        <v>33772</v>
      </c>
      <c r="H39" s="202">
        <f t="shared" si="1"/>
        <v>4221.5</v>
      </c>
      <c r="I39" s="202"/>
      <c r="J39" s="205"/>
      <c r="K39" s="206"/>
    </row>
    <row r="40" spans="1:11" ht="14.5" x14ac:dyDescent="0.35">
      <c r="A40" s="186" t="s">
        <v>464</v>
      </c>
      <c r="B40" s="187">
        <v>45344</v>
      </c>
      <c r="C40" s="186" t="s">
        <v>202</v>
      </c>
      <c r="D40" s="186" t="s">
        <v>233</v>
      </c>
      <c r="E40" s="186" t="s">
        <v>204</v>
      </c>
      <c r="F40" s="186" t="s">
        <v>465</v>
      </c>
      <c r="G40" s="191">
        <v>26250</v>
      </c>
      <c r="H40" s="202">
        <f t="shared" si="1"/>
        <v>3281.25</v>
      </c>
      <c r="I40" s="202"/>
      <c r="J40" s="205"/>
      <c r="K40" s="206"/>
    </row>
    <row r="41" spans="1:11" ht="14.5" x14ac:dyDescent="0.35">
      <c r="A41" s="186" t="s">
        <v>464</v>
      </c>
      <c r="B41" s="187">
        <v>45344</v>
      </c>
      <c r="C41" s="186" t="s">
        <v>202</v>
      </c>
      <c r="D41" s="186" t="s">
        <v>234</v>
      </c>
      <c r="E41" s="186" t="s">
        <v>204</v>
      </c>
      <c r="F41" s="186" t="s">
        <v>465</v>
      </c>
      <c r="G41" s="191">
        <v>26250</v>
      </c>
      <c r="H41" s="202">
        <f t="shared" si="1"/>
        <v>3281.25</v>
      </c>
      <c r="I41" s="202"/>
      <c r="J41" s="205"/>
      <c r="K41" s="206"/>
    </row>
    <row r="42" spans="1:11" ht="14.5" x14ac:dyDescent="0.35">
      <c r="A42" s="186" t="s">
        <v>464</v>
      </c>
      <c r="B42" s="187">
        <v>45344</v>
      </c>
      <c r="C42" s="186" t="s">
        <v>202</v>
      </c>
      <c r="D42" s="186" t="s">
        <v>197</v>
      </c>
      <c r="E42" s="186" t="s">
        <v>204</v>
      </c>
      <c r="F42" s="186" t="s">
        <v>465</v>
      </c>
      <c r="G42" s="191">
        <v>26250</v>
      </c>
      <c r="H42" s="202">
        <f t="shared" si="1"/>
        <v>3281.25</v>
      </c>
      <c r="I42" s="202"/>
      <c r="J42" s="205"/>
      <c r="K42" s="206"/>
    </row>
    <row r="43" spans="1:11" ht="14.5" x14ac:dyDescent="0.35">
      <c r="A43" s="186" t="s">
        <v>464</v>
      </c>
      <c r="B43" s="187">
        <v>45344</v>
      </c>
      <c r="C43" s="186" t="s">
        <v>202</v>
      </c>
      <c r="D43" s="186" t="s">
        <v>235</v>
      </c>
      <c r="E43" s="186" t="s">
        <v>204</v>
      </c>
      <c r="F43" s="186" t="s">
        <v>465</v>
      </c>
      <c r="G43" s="191">
        <v>26250</v>
      </c>
      <c r="H43" s="202">
        <f t="shared" si="1"/>
        <v>3281.25</v>
      </c>
      <c r="I43" s="202"/>
      <c r="J43" s="205"/>
      <c r="K43" s="206"/>
    </row>
    <row r="44" spans="1:11" ht="14.5" x14ac:dyDescent="0.35">
      <c r="A44" s="186" t="s">
        <v>466</v>
      </c>
      <c r="B44" s="187">
        <v>44979</v>
      </c>
      <c r="C44" s="186" t="s">
        <v>236</v>
      </c>
      <c r="D44" s="186" t="s">
        <v>237</v>
      </c>
      <c r="E44" s="186" t="s">
        <v>238</v>
      </c>
      <c r="F44" s="186" t="s">
        <v>239</v>
      </c>
      <c r="G44" s="191">
        <v>8922.57</v>
      </c>
      <c r="H44" s="202">
        <f>G44*10%</f>
        <v>892.25700000000006</v>
      </c>
      <c r="I44" s="202"/>
      <c r="J44" s="205"/>
      <c r="K44" s="206"/>
    </row>
    <row r="45" spans="1:11" ht="14.5" x14ac:dyDescent="0.35">
      <c r="A45" s="186" t="s">
        <v>466</v>
      </c>
      <c r="B45" s="187">
        <v>44979</v>
      </c>
      <c r="C45" s="186" t="s">
        <v>467</v>
      </c>
      <c r="D45" s="186" t="s">
        <v>468</v>
      </c>
      <c r="E45" s="186" t="s">
        <v>238</v>
      </c>
      <c r="F45" s="186" t="s">
        <v>242</v>
      </c>
      <c r="G45" s="191">
        <v>7046</v>
      </c>
      <c r="H45" s="202">
        <f>G45*10%</f>
        <v>704.6</v>
      </c>
      <c r="I45" s="202"/>
      <c r="J45" s="205"/>
      <c r="K45" s="206"/>
    </row>
    <row r="46" spans="1:11" ht="14.5" x14ac:dyDescent="0.35">
      <c r="A46" s="186" t="s">
        <v>466</v>
      </c>
      <c r="B46" s="187">
        <v>44979</v>
      </c>
      <c r="C46" s="186" t="s">
        <v>469</v>
      </c>
      <c r="D46" s="186" t="s">
        <v>241</v>
      </c>
      <c r="E46" s="186" t="s">
        <v>238</v>
      </c>
      <c r="F46" s="186" t="s">
        <v>243</v>
      </c>
      <c r="G46" s="191">
        <v>23677</v>
      </c>
      <c r="H46" s="202">
        <f>G46*10%</f>
        <v>2367.7000000000003</v>
      </c>
      <c r="I46" s="202"/>
      <c r="J46" s="205"/>
      <c r="K46" s="206"/>
    </row>
    <row r="47" spans="1:11" ht="14.5" x14ac:dyDescent="0.35">
      <c r="A47" s="186" t="s">
        <v>466</v>
      </c>
      <c r="B47" s="187">
        <v>44979</v>
      </c>
      <c r="C47" s="186" t="s">
        <v>212</v>
      </c>
      <c r="D47" s="186" t="s">
        <v>468</v>
      </c>
      <c r="E47" s="186" t="s">
        <v>204</v>
      </c>
      <c r="F47" s="186" t="s">
        <v>196</v>
      </c>
      <c r="G47" s="191">
        <v>7734</v>
      </c>
      <c r="H47" s="202">
        <f>G47*10%</f>
        <v>773.40000000000009</v>
      </c>
      <c r="I47" s="202"/>
      <c r="J47" s="205"/>
      <c r="K47" s="206"/>
    </row>
    <row r="48" spans="1:11" ht="14.5" x14ac:dyDescent="0.35">
      <c r="A48" s="186" t="s">
        <v>470</v>
      </c>
      <c r="B48" s="187">
        <v>46076</v>
      </c>
      <c r="C48" s="186" t="s">
        <v>205</v>
      </c>
      <c r="D48" s="186"/>
      <c r="E48" s="186" t="s">
        <v>204</v>
      </c>
      <c r="F48" s="186" t="s">
        <v>196</v>
      </c>
      <c r="G48" s="191">
        <v>7500</v>
      </c>
      <c r="H48" s="202">
        <f>G48*0.125</f>
        <v>937.5</v>
      </c>
      <c r="I48" s="202"/>
      <c r="J48" s="205"/>
      <c r="K48" s="206"/>
    </row>
    <row r="49" spans="1:11" ht="14.5" x14ac:dyDescent="0.35">
      <c r="A49" s="186" t="s">
        <v>470</v>
      </c>
      <c r="B49" s="187">
        <v>46076</v>
      </c>
      <c r="C49" s="186" t="s">
        <v>207</v>
      </c>
      <c r="D49" s="186" t="s">
        <v>208</v>
      </c>
      <c r="E49" s="186" t="s">
        <v>204</v>
      </c>
      <c r="F49" s="186" t="s">
        <v>196</v>
      </c>
      <c r="G49" s="191">
        <v>700</v>
      </c>
      <c r="H49" s="202">
        <f t="shared" ref="H49:H52" si="2">G49*0.125</f>
        <v>87.5</v>
      </c>
      <c r="I49" s="202"/>
      <c r="J49" s="205"/>
      <c r="K49" s="206"/>
    </row>
    <row r="50" spans="1:11" ht="14.5" x14ac:dyDescent="0.35">
      <c r="A50" s="186" t="s">
        <v>470</v>
      </c>
      <c r="B50" s="187">
        <v>46076</v>
      </c>
      <c r="C50" s="186" t="s">
        <v>471</v>
      </c>
      <c r="D50" s="186" t="s">
        <v>248</v>
      </c>
      <c r="E50" s="186" t="s">
        <v>204</v>
      </c>
      <c r="F50" s="186" t="s">
        <v>196</v>
      </c>
      <c r="G50" s="191">
        <v>1000</v>
      </c>
      <c r="H50" s="202">
        <f t="shared" si="2"/>
        <v>125</v>
      </c>
      <c r="I50" s="202"/>
      <c r="J50" s="205"/>
      <c r="K50" s="206"/>
    </row>
    <row r="51" spans="1:11" ht="14.5" x14ac:dyDescent="0.35">
      <c r="A51" s="186" t="s">
        <v>470</v>
      </c>
      <c r="B51" s="187">
        <v>46076</v>
      </c>
      <c r="C51" s="186" t="s">
        <v>331</v>
      </c>
      <c r="D51" s="186" t="s">
        <v>216</v>
      </c>
      <c r="E51" s="186" t="s">
        <v>204</v>
      </c>
      <c r="F51" s="186" t="s">
        <v>196</v>
      </c>
      <c r="G51" s="191">
        <v>1000</v>
      </c>
      <c r="H51" s="202">
        <f t="shared" si="2"/>
        <v>125</v>
      </c>
      <c r="I51" s="202"/>
      <c r="J51" s="205"/>
      <c r="K51" s="206"/>
    </row>
    <row r="52" spans="1:11" ht="14.5" x14ac:dyDescent="0.35">
      <c r="A52" s="186" t="s">
        <v>470</v>
      </c>
      <c r="B52" s="187">
        <v>46076</v>
      </c>
      <c r="C52" s="186" t="s">
        <v>332</v>
      </c>
      <c r="D52" s="186" t="s">
        <v>472</v>
      </c>
      <c r="E52" s="186" t="s">
        <v>204</v>
      </c>
      <c r="F52" s="186" t="s">
        <v>196</v>
      </c>
      <c r="G52" s="191">
        <v>8000</v>
      </c>
      <c r="H52" s="202">
        <f t="shared" si="2"/>
        <v>1000</v>
      </c>
      <c r="I52" s="202"/>
      <c r="J52" s="205"/>
      <c r="K52" s="206"/>
    </row>
    <row r="53" spans="1:11" ht="14.5" x14ac:dyDescent="0.35">
      <c r="A53" s="190" t="s">
        <v>473</v>
      </c>
      <c r="B53" s="187">
        <v>45708</v>
      </c>
      <c r="C53" s="190" t="s">
        <v>194</v>
      </c>
      <c r="D53" s="190" t="s">
        <v>474</v>
      </c>
      <c r="E53" s="190" t="s">
        <v>204</v>
      </c>
      <c r="F53" s="194" t="s">
        <v>196</v>
      </c>
      <c r="G53" s="195">
        <v>3117</v>
      </c>
      <c r="H53" s="193"/>
      <c r="I53" s="193"/>
      <c r="J53" s="205"/>
      <c r="K53" s="206"/>
    </row>
    <row r="54" spans="1:11" ht="14.5" x14ac:dyDescent="0.35">
      <c r="A54" s="186" t="s">
        <v>475</v>
      </c>
      <c r="B54" s="187">
        <v>45348</v>
      </c>
      <c r="C54" s="186" t="s">
        <v>433</v>
      </c>
      <c r="D54" s="186" t="s">
        <v>195</v>
      </c>
      <c r="E54" s="186" t="s">
        <v>204</v>
      </c>
      <c r="F54" s="186" t="s">
        <v>246</v>
      </c>
      <c r="G54" s="191">
        <v>17719</v>
      </c>
      <c r="H54" s="202"/>
      <c r="I54" s="202"/>
      <c r="J54" s="209"/>
      <c r="K54" s="210"/>
    </row>
    <row r="55" spans="1:11" ht="14.5" x14ac:dyDescent="0.35">
      <c r="A55" s="211"/>
      <c r="B55" s="212"/>
      <c r="C55" s="211"/>
      <c r="D55" s="211"/>
      <c r="E55" s="211"/>
      <c r="F55" s="211"/>
      <c r="G55" s="213"/>
      <c r="H55" s="214"/>
      <c r="I55" s="214">
        <f>SUM(H23:H55)</f>
        <v>110452.91949999999</v>
      </c>
      <c r="J55" s="215">
        <v>4771.1400000000003</v>
      </c>
      <c r="K55" s="215"/>
    </row>
    <row r="56" spans="1:11" ht="14.5" x14ac:dyDescent="0.35">
      <c r="A56" s="190" t="s">
        <v>476</v>
      </c>
      <c r="B56" s="187">
        <v>44986</v>
      </c>
      <c r="C56" s="190" t="s">
        <v>194</v>
      </c>
      <c r="D56" s="190" t="s">
        <v>195</v>
      </c>
      <c r="E56" s="190" t="s">
        <v>449</v>
      </c>
      <c r="F56" s="194" t="s">
        <v>209</v>
      </c>
      <c r="G56" s="195">
        <v>37057</v>
      </c>
      <c r="H56" s="193"/>
      <c r="I56" s="324"/>
      <c r="J56" s="327"/>
      <c r="K56" s="328"/>
    </row>
    <row r="57" spans="1:11" ht="28" x14ac:dyDescent="0.35">
      <c r="A57" s="190" t="s">
        <v>476</v>
      </c>
      <c r="B57" s="187">
        <v>44986</v>
      </c>
      <c r="C57" s="190" t="s">
        <v>247</v>
      </c>
      <c r="D57" s="190" t="s">
        <v>248</v>
      </c>
      <c r="E57" s="190" t="s">
        <v>204</v>
      </c>
      <c r="F57" s="194" t="s">
        <v>249</v>
      </c>
      <c r="G57" s="195">
        <v>7150</v>
      </c>
      <c r="H57" s="193">
        <f>G57*12.5%</f>
        <v>893.75</v>
      </c>
      <c r="I57" s="325"/>
      <c r="J57" s="329"/>
      <c r="K57" s="330"/>
    </row>
    <row r="58" spans="1:11" ht="14.5" x14ac:dyDescent="0.35">
      <c r="A58" s="190" t="s">
        <v>476</v>
      </c>
      <c r="B58" s="187">
        <v>44986</v>
      </c>
      <c r="C58" s="190" t="s">
        <v>205</v>
      </c>
      <c r="D58" s="190" t="s">
        <v>250</v>
      </c>
      <c r="E58" s="190" t="s">
        <v>449</v>
      </c>
      <c r="F58" s="194" t="s">
        <v>196</v>
      </c>
      <c r="G58" s="195">
        <v>7570</v>
      </c>
      <c r="H58" s="193">
        <f>G58*10%</f>
        <v>757</v>
      </c>
      <c r="I58" s="325"/>
      <c r="J58" s="329"/>
      <c r="K58" s="330"/>
    </row>
    <row r="59" spans="1:11" ht="14.5" x14ac:dyDescent="0.35">
      <c r="A59" s="190" t="s">
        <v>476</v>
      </c>
      <c r="B59" s="187">
        <v>44986</v>
      </c>
      <c r="C59" s="190" t="s">
        <v>207</v>
      </c>
      <c r="D59" s="190" t="s">
        <v>251</v>
      </c>
      <c r="E59" s="190" t="s">
        <v>449</v>
      </c>
      <c r="F59" s="194" t="s">
        <v>209</v>
      </c>
      <c r="G59" s="195">
        <v>3590</v>
      </c>
      <c r="H59" s="193">
        <v>448.75</v>
      </c>
      <c r="I59" s="325"/>
      <c r="J59" s="329"/>
      <c r="K59" s="330"/>
    </row>
    <row r="60" spans="1:11" ht="14.5" x14ac:dyDescent="0.35">
      <c r="A60" s="190" t="s">
        <v>476</v>
      </c>
      <c r="B60" s="187">
        <v>46082</v>
      </c>
      <c r="C60" s="190" t="s">
        <v>263</v>
      </c>
      <c r="D60" s="190" t="s">
        <v>477</v>
      </c>
      <c r="E60" s="190" t="s">
        <v>427</v>
      </c>
      <c r="F60" s="194" t="s">
        <v>196</v>
      </c>
      <c r="G60" s="216">
        <v>1758</v>
      </c>
      <c r="H60" s="217">
        <f>G60*0.1</f>
        <v>175.8</v>
      </c>
      <c r="I60" s="326"/>
      <c r="J60" s="329"/>
      <c r="K60" s="330"/>
    </row>
    <row r="61" spans="1:11" ht="14.5" x14ac:dyDescent="0.35">
      <c r="A61" s="190" t="s">
        <v>478</v>
      </c>
      <c r="B61" s="187">
        <v>45717</v>
      </c>
      <c r="C61" s="190" t="s">
        <v>194</v>
      </c>
      <c r="D61" s="190" t="s">
        <v>275</v>
      </c>
      <c r="E61" s="190" t="s">
        <v>204</v>
      </c>
      <c r="F61" s="194" t="s">
        <v>246</v>
      </c>
      <c r="G61" s="195">
        <v>10460</v>
      </c>
      <c r="H61" s="193">
        <f t="shared" ref="H61:H66" si="3">G61*0.125</f>
        <v>1307.5</v>
      </c>
      <c r="I61" s="324"/>
      <c r="J61" s="329"/>
      <c r="K61" s="330"/>
    </row>
    <row r="62" spans="1:11" ht="14.5" x14ac:dyDescent="0.35">
      <c r="A62" s="218" t="s">
        <v>478</v>
      </c>
      <c r="B62" s="187">
        <v>46082</v>
      </c>
      <c r="C62" s="190" t="s">
        <v>247</v>
      </c>
      <c r="D62" s="190" t="s">
        <v>479</v>
      </c>
      <c r="E62" s="190" t="s">
        <v>204</v>
      </c>
      <c r="F62" s="194" t="s">
        <v>196</v>
      </c>
      <c r="G62" s="195">
        <v>6750</v>
      </c>
      <c r="H62" s="193">
        <f t="shared" si="3"/>
        <v>843.75</v>
      </c>
      <c r="I62" s="325"/>
      <c r="J62" s="329"/>
      <c r="K62" s="330"/>
    </row>
    <row r="63" spans="1:11" ht="14.5" x14ac:dyDescent="0.35">
      <c r="A63" s="218" t="s">
        <v>478</v>
      </c>
      <c r="B63" s="187">
        <v>46082</v>
      </c>
      <c r="C63" s="190" t="s">
        <v>207</v>
      </c>
      <c r="D63" s="190" t="s">
        <v>280</v>
      </c>
      <c r="E63" s="190" t="s">
        <v>204</v>
      </c>
      <c r="F63" s="194" t="s">
        <v>480</v>
      </c>
      <c r="G63" s="195">
        <v>1216</v>
      </c>
      <c r="H63" s="193">
        <f t="shared" si="3"/>
        <v>152</v>
      </c>
      <c r="I63" s="325"/>
      <c r="J63" s="329"/>
      <c r="K63" s="330"/>
    </row>
    <row r="64" spans="1:11" ht="14.5" x14ac:dyDescent="0.35">
      <c r="A64" s="218" t="s">
        <v>478</v>
      </c>
      <c r="B64" s="187">
        <v>46082</v>
      </c>
      <c r="C64" s="190" t="s">
        <v>481</v>
      </c>
      <c r="D64" s="190" t="s">
        <v>203</v>
      </c>
      <c r="E64" s="190" t="s">
        <v>204</v>
      </c>
      <c r="F64" s="194" t="s">
        <v>482</v>
      </c>
      <c r="G64" s="195">
        <v>1025</v>
      </c>
      <c r="H64" s="193">
        <f t="shared" si="3"/>
        <v>128.125</v>
      </c>
      <c r="I64" s="325"/>
      <c r="J64" s="329"/>
      <c r="K64" s="330"/>
    </row>
    <row r="65" spans="1:11" ht="14.5" x14ac:dyDescent="0.35">
      <c r="A65" s="218" t="s">
        <v>478</v>
      </c>
      <c r="B65" s="187">
        <v>46082</v>
      </c>
      <c r="C65" s="190" t="s">
        <v>483</v>
      </c>
      <c r="D65" s="190" t="s">
        <v>248</v>
      </c>
      <c r="E65" s="190" t="s">
        <v>204</v>
      </c>
      <c r="F65" s="194" t="s">
        <v>484</v>
      </c>
      <c r="G65" s="195">
        <v>1000</v>
      </c>
      <c r="H65" s="193">
        <f t="shared" si="3"/>
        <v>125</v>
      </c>
      <c r="I65" s="325"/>
      <c r="J65" s="329"/>
      <c r="K65" s="330"/>
    </row>
    <row r="66" spans="1:11" ht="14.5" x14ac:dyDescent="0.35">
      <c r="A66" s="218" t="s">
        <v>478</v>
      </c>
      <c r="B66" s="187">
        <v>46082</v>
      </c>
      <c r="C66" s="190" t="s">
        <v>485</v>
      </c>
      <c r="D66" s="190" t="s">
        <v>472</v>
      </c>
      <c r="E66" s="190" t="s">
        <v>204</v>
      </c>
      <c r="F66" s="194" t="s">
        <v>486</v>
      </c>
      <c r="G66" s="195">
        <v>8000</v>
      </c>
      <c r="H66" s="193">
        <f t="shared" si="3"/>
        <v>1000</v>
      </c>
      <c r="I66" s="325"/>
      <c r="J66" s="329"/>
      <c r="K66" s="330"/>
    </row>
    <row r="67" spans="1:11" ht="14.5" x14ac:dyDescent="0.35">
      <c r="A67" s="218" t="s">
        <v>478</v>
      </c>
      <c r="B67" s="187">
        <v>46082</v>
      </c>
      <c r="C67" s="190" t="s">
        <v>263</v>
      </c>
      <c r="D67" s="190" t="s">
        <v>270</v>
      </c>
      <c r="E67" s="190" t="s">
        <v>427</v>
      </c>
      <c r="F67" s="194" t="s">
        <v>480</v>
      </c>
      <c r="G67" s="216">
        <v>1214</v>
      </c>
      <c r="H67" s="217">
        <f>G67*0.1</f>
        <v>121.4</v>
      </c>
      <c r="I67" s="326"/>
      <c r="J67" s="329"/>
      <c r="K67" s="330"/>
    </row>
    <row r="68" spans="1:11" ht="14.5" x14ac:dyDescent="0.35">
      <c r="A68" s="186" t="s">
        <v>487</v>
      </c>
      <c r="B68" s="187">
        <v>45358</v>
      </c>
      <c r="C68" s="186" t="s">
        <v>433</v>
      </c>
      <c r="D68" s="186" t="s">
        <v>252</v>
      </c>
      <c r="E68" s="186" t="s">
        <v>204</v>
      </c>
      <c r="F68" s="186" t="s">
        <v>196</v>
      </c>
      <c r="G68" s="191">
        <v>1989</v>
      </c>
      <c r="H68" s="202">
        <f>G68*0.125</f>
        <v>248.625</v>
      </c>
      <c r="I68" s="202"/>
      <c r="J68" s="329"/>
      <c r="K68" s="330"/>
    </row>
    <row r="69" spans="1:11" ht="14.5" x14ac:dyDescent="0.35">
      <c r="A69" s="186" t="s">
        <v>488</v>
      </c>
      <c r="B69" s="187">
        <v>45723</v>
      </c>
      <c r="C69" s="186" t="s">
        <v>489</v>
      </c>
      <c r="D69" s="186" t="s">
        <v>253</v>
      </c>
      <c r="E69" s="186" t="s">
        <v>204</v>
      </c>
      <c r="F69" s="186" t="s">
        <v>480</v>
      </c>
      <c r="G69" s="191">
        <v>3114</v>
      </c>
      <c r="H69" s="202">
        <f>G69*0.125</f>
        <v>389.25</v>
      </c>
      <c r="I69" s="202"/>
      <c r="J69" s="329"/>
      <c r="K69" s="330"/>
    </row>
    <row r="70" spans="1:11" ht="14.5" x14ac:dyDescent="0.35">
      <c r="A70" s="186" t="s">
        <v>490</v>
      </c>
      <c r="B70" s="187">
        <v>46090</v>
      </c>
      <c r="C70" s="186" t="s">
        <v>194</v>
      </c>
      <c r="D70" s="186" t="s">
        <v>281</v>
      </c>
      <c r="E70" s="186" t="s">
        <v>204</v>
      </c>
      <c r="F70" s="186" t="s">
        <v>209</v>
      </c>
      <c r="G70" s="191">
        <v>5780</v>
      </c>
      <c r="H70" s="219">
        <v>722.5</v>
      </c>
      <c r="I70" s="202"/>
      <c r="J70" s="329"/>
      <c r="K70" s="330"/>
    </row>
    <row r="71" spans="1:11" ht="14.5" x14ac:dyDescent="0.35">
      <c r="A71" s="186" t="s">
        <v>491</v>
      </c>
      <c r="B71" s="187">
        <v>45727</v>
      </c>
      <c r="C71" s="186" t="s">
        <v>255</v>
      </c>
      <c r="D71" s="186" t="s">
        <v>245</v>
      </c>
      <c r="E71" s="186" t="s">
        <v>204</v>
      </c>
      <c r="F71" s="186" t="s">
        <v>196</v>
      </c>
      <c r="G71" s="191">
        <v>16000</v>
      </c>
      <c r="H71" s="193">
        <f>G71*0.125</f>
        <v>2000</v>
      </c>
      <c r="I71" s="193"/>
      <c r="J71" s="329"/>
      <c r="K71" s="330"/>
    </row>
    <row r="72" spans="1:11" ht="14.5" x14ac:dyDescent="0.35">
      <c r="A72" s="186" t="s">
        <v>491</v>
      </c>
      <c r="B72" s="187">
        <v>45727</v>
      </c>
      <c r="C72" s="186" t="s">
        <v>207</v>
      </c>
      <c r="D72" s="186" t="s">
        <v>208</v>
      </c>
      <c r="E72" s="186" t="s">
        <v>204</v>
      </c>
      <c r="F72" s="186" t="s">
        <v>196</v>
      </c>
      <c r="G72" s="191">
        <v>1091</v>
      </c>
      <c r="H72" s="193">
        <f t="shared" ref="H72:H73" si="4">G72*0.125</f>
        <v>136.375</v>
      </c>
      <c r="I72" s="193"/>
      <c r="J72" s="329"/>
      <c r="K72" s="330"/>
    </row>
    <row r="73" spans="1:11" ht="14.5" x14ac:dyDescent="0.35">
      <c r="A73" s="186" t="s">
        <v>491</v>
      </c>
      <c r="B73" s="187">
        <v>45727</v>
      </c>
      <c r="C73" s="186" t="s">
        <v>256</v>
      </c>
      <c r="D73" s="186" t="s">
        <v>253</v>
      </c>
      <c r="E73" s="186" t="s">
        <v>204</v>
      </c>
      <c r="F73" s="186" t="s">
        <v>196</v>
      </c>
      <c r="G73" s="191">
        <v>3582</v>
      </c>
      <c r="H73" s="193">
        <f t="shared" si="4"/>
        <v>447.75</v>
      </c>
      <c r="I73" s="193"/>
      <c r="J73" s="329"/>
      <c r="K73" s="330"/>
    </row>
    <row r="74" spans="1:11" ht="14.5" x14ac:dyDescent="0.35">
      <c r="A74" s="186" t="s">
        <v>492</v>
      </c>
      <c r="B74" s="187">
        <v>44999</v>
      </c>
      <c r="C74" s="186" t="s">
        <v>194</v>
      </c>
      <c r="D74" s="186" t="s">
        <v>195</v>
      </c>
      <c r="E74" s="186" t="s">
        <v>449</v>
      </c>
      <c r="F74" s="186" t="s">
        <v>196</v>
      </c>
      <c r="G74" s="191">
        <v>20992</v>
      </c>
      <c r="H74" s="202"/>
      <c r="I74" s="202"/>
      <c r="J74" s="329"/>
      <c r="K74" s="330"/>
    </row>
    <row r="75" spans="1:11" ht="14.5" x14ac:dyDescent="0.35">
      <c r="A75" s="186" t="s">
        <v>493</v>
      </c>
      <c r="B75" s="187">
        <v>45002</v>
      </c>
      <c r="C75" s="186" t="s">
        <v>433</v>
      </c>
      <c r="D75" s="186" t="s">
        <v>257</v>
      </c>
      <c r="E75" s="186" t="s">
        <v>204</v>
      </c>
      <c r="F75" s="186" t="s">
        <v>209</v>
      </c>
      <c r="G75" s="191">
        <v>15000</v>
      </c>
      <c r="H75" s="202">
        <f>G75*12.5%</f>
        <v>1875</v>
      </c>
      <c r="I75" s="202"/>
      <c r="J75" s="329"/>
      <c r="K75" s="330"/>
    </row>
    <row r="76" spans="1:11" ht="14.5" x14ac:dyDescent="0.35">
      <c r="A76" s="186" t="s">
        <v>494</v>
      </c>
      <c r="B76" s="187">
        <v>45736</v>
      </c>
      <c r="C76" s="186" t="s">
        <v>258</v>
      </c>
      <c r="D76" s="186" t="s">
        <v>229</v>
      </c>
      <c r="E76" s="186" t="s">
        <v>204</v>
      </c>
      <c r="F76" s="186" t="s">
        <v>228</v>
      </c>
      <c r="G76" s="191">
        <v>39220</v>
      </c>
      <c r="H76" s="202">
        <f t="shared" ref="H76:H81" si="5">G76*12.5%</f>
        <v>4902.5</v>
      </c>
      <c r="I76" s="333"/>
      <c r="J76" s="329"/>
      <c r="K76" s="330"/>
    </row>
    <row r="77" spans="1:11" ht="14.5" x14ac:dyDescent="0.35">
      <c r="A77" s="186" t="s">
        <v>494</v>
      </c>
      <c r="B77" s="187">
        <v>45736</v>
      </c>
      <c r="C77" s="186" t="s">
        <v>259</v>
      </c>
      <c r="D77" s="186" t="s">
        <v>203</v>
      </c>
      <c r="E77" s="186" t="s">
        <v>204</v>
      </c>
      <c r="F77" s="186" t="s">
        <v>228</v>
      </c>
      <c r="G77" s="191">
        <v>21860</v>
      </c>
      <c r="H77" s="202">
        <f t="shared" si="5"/>
        <v>2732.5</v>
      </c>
      <c r="I77" s="334"/>
      <c r="J77" s="329"/>
      <c r="K77" s="330"/>
    </row>
    <row r="78" spans="1:11" ht="14.5" x14ac:dyDescent="0.35">
      <c r="A78" s="186" t="s">
        <v>494</v>
      </c>
      <c r="B78" s="187">
        <v>46101</v>
      </c>
      <c r="C78" s="186" t="s">
        <v>207</v>
      </c>
      <c r="D78" s="186" t="s">
        <v>280</v>
      </c>
      <c r="E78" s="186" t="s">
        <v>204</v>
      </c>
      <c r="F78" s="186" t="s">
        <v>196</v>
      </c>
      <c r="G78" s="191">
        <v>2995</v>
      </c>
      <c r="H78" s="202">
        <f>G78*12.5%</f>
        <v>374.375</v>
      </c>
      <c r="I78" s="334"/>
      <c r="J78" s="329"/>
      <c r="K78" s="330"/>
    </row>
    <row r="79" spans="1:11" ht="14.5" x14ac:dyDescent="0.35">
      <c r="A79" s="186" t="s">
        <v>494</v>
      </c>
      <c r="B79" s="187">
        <v>46101</v>
      </c>
      <c r="C79" s="186" t="s">
        <v>306</v>
      </c>
      <c r="D79" s="186" t="s">
        <v>495</v>
      </c>
      <c r="E79" s="186" t="s">
        <v>204</v>
      </c>
      <c r="F79" s="186" t="s">
        <v>196</v>
      </c>
      <c r="G79" s="191">
        <v>1960</v>
      </c>
      <c r="H79" s="202">
        <f t="shared" si="5"/>
        <v>245</v>
      </c>
      <c r="I79" s="334"/>
      <c r="J79" s="329"/>
      <c r="K79" s="330"/>
    </row>
    <row r="80" spans="1:11" ht="14.5" x14ac:dyDescent="0.35">
      <c r="A80" s="186" t="s">
        <v>494</v>
      </c>
      <c r="B80" s="187">
        <v>46101</v>
      </c>
      <c r="C80" s="186" t="s">
        <v>306</v>
      </c>
      <c r="D80" s="186" t="s">
        <v>218</v>
      </c>
      <c r="E80" s="186" t="s">
        <v>204</v>
      </c>
      <c r="F80" s="186" t="s">
        <v>196</v>
      </c>
      <c r="G80" s="191">
        <v>2241</v>
      </c>
      <c r="H80" s="202">
        <f t="shared" si="5"/>
        <v>280.125</v>
      </c>
      <c r="I80" s="334"/>
      <c r="J80" s="329"/>
      <c r="K80" s="330"/>
    </row>
    <row r="81" spans="1:11" ht="14.5" x14ac:dyDescent="0.35">
      <c r="A81" s="186" t="s">
        <v>494</v>
      </c>
      <c r="B81" s="187">
        <v>46101</v>
      </c>
      <c r="C81" s="186" t="s">
        <v>205</v>
      </c>
      <c r="D81" s="186" t="s">
        <v>253</v>
      </c>
      <c r="E81" s="186" t="s">
        <v>204</v>
      </c>
      <c r="F81" s="186" t="s">
        <v>196</v>
      </c>
      <c r="G81" s="191">
        <v>6209</v>
      </c>
      <c r="H81" s="202">
        <f t="shared" si="5"/>
        <v>776.125</v>
      </c>
      <c r="I81" s="335"/>
      <c r="J81" s="329"/>
      <c r="K81" s="330"/>
    </row>
    <row r="82" spans="1:11" ht="14.5" x14ac:dyDescent="0.35">
      <c r="A82" s="186" t="s">
        <v>496</v>
      </c>
      <c r="B82" s="187">
        <v>45737</v>
      </c>
      <c r="C82" s="186" t="s">
        <v>260</v>
      </c>
      <c r="D82" s="327"/>
      <c r="E82" s="336"/>
      <c r="F82" s="336"/>
      <c r="G82" s="328"/>
      <c r="H82" s="202">
        <v>5000</v>
      </c>
      <c r="I82" s="202"/>
      <c r="J82" s="329"/>
      <c r="K82" s="330"/>
    </row>
    <row r="83" spans="1:11" ht="14.5" x14ac:dyDescent="0.35">
      <c r="A83" s="186" t="s">
        <v>458</v>
      </c>
      <c r="B83" s="187">
        <v>45737</v>
      </c>
      <c r="C83" s="186" t="s">
        <v>260</v>
      </c>
      <c r="D83" s="331"/>
      <c r="E83" s="337"/>
      <c r="F83" s="337"/>
      <c r="G83" s="332"/>
      <c r="H83" s="202">
        <v>3000</v>
      </c>
      <c r="I83" s="202"/>
      <c r="J83" s="331"/>
      <c r="K83" s="332"/>
    </row>
    <row r="84" spans="1:11" ht="14.5" x14ac:dyDescent="0.35">
      <c r="A84" s="211"/>
      <c r="B84" s="212"/>
      <c r="C84" s="211"/>
      <c r="D84" s="211"/>
      <c r="E84" s="211"/>
      <c r="F84" s="211"/>
      <c r="G84" s="213"/>
      <c r="H84" s="214"/>
      <c r="I84" s="214">
        <f>SUM(H56:H84)</f>
        <v>29083.200000000001</v>
      </c>
      <c r="J84" s="223">
        <v>2428.13</v>
      </c>
      <c r="K84" s="223">
        <v>4853.8500000000004</v>
      </c>
    </row>
    <row r="85" spans="1:11" ht="14.5" x14ac:dyDescent="0.35">
      <c r="A85" s="186" t="s">
        <v>497</v>
      </c>
      <c r="B85" s="187">
        <v>46113</v>
      </c>
      <c r="C85" s="186" t="s">
        <v>433</v>
      </c>
      <c r="D85" s="186" t="s">
        <v>195</v>
      </c>
      <c r="E85" s="186" t="s">
        <v>204</v>
      </c>
      <c r="F85" s="186" t="s">
        <v>480</v>
      </c>
      <c r="G85" s="191">
        <v>3125</v>
      </c>
      <c r="H85" s="202"/>
      <c r="I85" s="202"/>
      <c r="J85" s="327"/>
      <c r="K85" s="328"/>
    </row>
    <row r="86" spans="1:11" ht="14.5" x14ac:dyDescent="0.35">
      <c r="A86" s="224" t="s">
        <v>498</v>
      </c>
      <c r="B86" s="225">
        <v>45750</v>
      </c>
      <c r="C86" s="224" t="s">
        <v>433</v>
      </c>
      <c r="D86" s="224" t="s">
        <v>195</v>
      </c>
      <c r="E86" s="224" t="s">
        <v>204</v>
      </c>
      <c r="F86" s="224" t="s">
        <v>196</v>
      </c>
      <c r="G86" s="191">
        <v>2500</v>
      </c>
      <c r="H86" s="202"/>
      <c r="I86" s="226"/>
      <c r="J86" s="329"/>
      <c r="K86" s="330"/>
    </row>
    <row r="87" spans="1:11" ht="14.5" x14ac:dyDescent="0.35">
      <c r="A87" s="224" t="s">
        <v>499</v>
      </c>
      <c r="B87" s="225">
        <v>45385</v>
      </c>
      <c r="C87" s="224" t="s">
        <v>433</v>
      </c>
      <c r="D87" s="224" t="s">
        <v>195</v>
      </c>
      <c r="E87" s="224" t="s">
        <v>204</v>
      </c>
      <c r="F87" s="224" t="s">
        <v>196</v>
      </c>
      <c r="G87" s="191">
        <v>3265</v>
      </c>
      <c r="H87" s="202"/>
      <c r="I87" s="226"/>
      <c r="J87" s="329"/>
      <c r="K87" s="330"/>
    </row>
    <row r="88" spans="1:11" ht="14.5" x14ac:dyDescent="0.35">
      <c r="A88" s="224" t="s">
        <v>500</v>
      </c>
      <c r="B88" s="225">
        <v>46115</v>
      </c>
      <c r="C88" s="224" t="s">
        <v>501</v>
      </c>
      <c r="D88" s="224" t="s">
        <v>294</v>
      </c>
      <c r="E88" s="224" t="s">
        <v>204</v>
      </c>
      <c r="F88" s="224" t="s">
        <v>228</v>
      </c>
      <c r="G88" s="191">
        <v>13521</v>
      </c>
      <c r="H88" s="202">
        <f>G88*12.5%</f>
        <v>1690.125</v>
      </c>
      <c r="I88" s="338"/>
      <c r="J88" s="329"/>
      <c r="K88" s="330"/>
    </row>
    <row r="89" spans="1:11" ht="14.5" x14ac:dyDescent="0.35">
      <c r="A89" s="224" t="s">
        <v>500</v>
      </c>
      <c r="B89" s="225">
        <v>46115</v>
      </c>
      <c r="C89" s="224" t="s">
        <v>207</v>
      </c>
      <c r="D89" s="224" t="s">
        <v>280</v>
      </c>
      <c r="E89" s="224" t="s">
        <v>204</v>
      </c>
      <c r="F89" s="224" t="s">
        <v>196</v>
      </c>
      <c r="G89" s="191">
        <v>700</v>
      </c>
      <c r="H89" s="202">
        <f t="shared" ref="H89:H96" si="6">G89*12.5%</f>
        <v>87.5</v>
      </c>
      <c r="I89" s="339"/>
      <c r="J89" s="329"/>
      <c r="K89" s="330"/>
    </row>
    <row r="90" spans="1:11" ht="14.5" x14ac:dyDescent="0.35">
      <c r="A90" s="224" t="s">
        <v>500</v>
      </c>
      <c r="B90" s="225">
        <v>46115</v>
      </c>
      <c r="C90" s="224" t="s">
        <v>217</v>
      </c>
      <c r="D90" s="224" t="s">
        <v>237</v>
      </c>
      <c r="E90" s="224" t="s">
        <v>204</v>
      </c>
      <c r="F90" s="224" t="s">
        <v>196</v>
      </c>
      <c r="G90" s="191">
        <v>1000</v>
      </c>
      <c r="H90" s="202">
        <v>125</v>
      </c>
      <c r="I90" s="339"/>
      <c r="J90" s="329"/>
      <c r="K90" s="330"/>
    </row>
    <row r="91" spans="1:11" ht="14.5" x14ac:dyDescent="0.35">
      <c r="A91" s="224" t="s">
        <v>500</v>
      </c>
      <c r="B91" s="225">
        <v>46115</v>
      </c>
      <c r="C91" s="224" t="s">
        <v>331</v>
      </c>
      <c r="D91" s="224" t="s">
        <v>203</v>
      </c>
      <c r="E91" s="224" t="s">
        <v>204</v>
      </c>
      <c r="F91" s="224" t="s">
        <v>196</v>
      </c>
      <c r="G91" s="191">
        <v>1000</v>
      </c>
      <c r="H91" s="202">
        <f t="shared" si="6"/>
        <v>125</v>
      </c>
      <c r="I91" s="340"/>
      <c r="J91" s="329"/>
      <c r="K91" s="330"/>
    </row>
    <row r="92" spans="1:11" ht="14.5" x14ac:dyDescent="0.35">
      <c r="A92" s="186" t="s">
        <v>502</v>
      </c>
      <c r="B92" s="225">
        <v>45751</v>
      </c>
      <c r="C92" s="224" t="s">
        <v>205</v>
      </c>
      <c r="D92" s="224" t="s">
        <v>503</v>
      </c>
      <c r="E92" s="224" t="s">
        <v>204</v>
      </c>
      <c r="F92" s="224" t="s">
        <v>274</v>
      </c>
      <c r="G92" s="191">
        <v>6877</v>
      </c>
      <c r="H92" s="202">
        <f t="shared" si="6"/>
        <v>859.625</v>
      </c>
      <c r="I92" s="338"/>
      <c r="J92" s="329"/>
      <c r="K92" s="330"/>
    </row>
    <row r="93" spans="1:11" ht="14.5" x14ac:dyDescent="0.35">
      <c r="A93" s="186" t="s">
        <v>502</v>
      </c>
      <c r="B93" s="187">
        <v>45386</v>
      </c>
      <c r="C93" s="186" t="s">
        <v>504</v>
      </c>
      <c r="D93" s="186" t="s">
        <v>229</v>
      </c>
      <c r="E93" s="186" t="s">
        <v>204</v>
      </c>
      <c r="F93" s="186" t="s">
        <v>228</v>
      </c>
      <c r="G93" s="191">
        <v>35625</v>
      </c>
      <c r="H93" s="202">
        <f t="shared" si="6"/>
        <v>4453.125</v>
      </c>
      <c r="I93" s="339"/>
      <c r="J93" s="329"/>
      <c r="K93" s="330"/>
    </row>
    <row r="94" spans="1:11" ht="14.5" x14ac:dyDescent="0.35">
      <c r="A94" s="186" t="s">
        <v>502</v>
      </c>
      <c r="B94" s="187">
        <v>45386</v>
      </c>
      <c r="C94" s="186" t="s">
        <v>259</v>
      </c>
      <c r="D94" s="186" t="s">
        <v>261</v>
      </c>
      <c r="E94" s="186" t="s">
        <v>204</v>
      </c>
      <c r="F94" s="186" t="s">
        <v>228</v>
      </c>
      <c r="G94" s="191">
        <v>25638</v>
      </c>
      <c r="H94" s="202">
        <f t="shared" si="6"/>
        <v>3204.75</v>
      </c>
      <c r="I94" s="340"/>
      <c r="J94" s="329"/>
      <c r="K94" s="330"/>
    </row>
    <row r="95" spans="1:11" ht="14.5" x14ac:dyDescent="0.35">
      <c r="A95" s="224" t="s">
        <v>505</v>
      </c>
      <c r="B95" s="225">
        <v>45398</v>
      </c>
      <c r="C95" s="224" t="s">
        <v>194</v>
      </c>
      <c r="D95" s="224" t="s">
        <v>292</v>
      </c>
      <c r="E95" s="224" t="s">
        <v>204</v>
      </c>
      <c r="F95" s="224" t="s">
        <v>201</v>
      </c>
      <c r="G95" s="191">
        <v>16949</v>
      </c>
      <c r="H95" s="202">
        <f t="shared" si="6"/>
        <v>2118.625</v>
      </c>
      <c r="I95" s="226" t="s">
        <v>506</v>
      </c>
      <c r="J95" s="329"/>
      <c r="K95" s="330"/>
    </row>
    <row r="96" spans="1:11" ht="14.5" x14ac:dyDescent="0.35">
      <c r="A96" s="224" t="s">
        <v>458</v>
      </c>
      <c r="B96" s="225">
        <v>45764</v>
      </c>
      <c r="C96" s="224" t="s">
        <v>220</v>
      </c>
      <c r="D96" s="224" t="s">
        <v>264</v>
      </c>
      <c r="E96" s="224" t="s">
        <v>204</v>
      </c>
      <c r="F96" s="224" t="s">
        <v>196</v>
      </c>
      <c r="G96" s="191">
        <v>12000</v>
      </c>
      <c r="H96" s="202">
        <f t="shared" si="6"/>
        <v>1500</v>
      </c>
      <c r="I96" s="226"/>
      <c r="J96" s="329"/>
      <c r="K96" s="330"/>
    </row>
    <row r="97" spans="1:11" ht="14.5" x14ac:dyDescent="0.35">
      <c r="A97" s="224" t="s">
        <v>507</v>
      </c>
      <c r="B97" s="225">
        <v>45768</v>
      </c>
      <c r="C97" s="224" t="s">
        <v>508</v>
      </c>
      <c r="D97" s="224" t="s">
        <v>265</v>
      </c>
      <c r="E97" s="224" t="s">
        <v>204</v>
      </c>
      <c r="F97" s="224" t="s">
        <v>246</v>
      </c>
      <c r="G97" s="191">
        <v>4711</v>
      </c>
      <c r="H97" s="202">
        <v>588.88</v>
      </c>
      <c r="I97" s="338"/>
      <c r="J97" s="329"/>
      <c r="K97" s="330"/>
    </row>
    <row r="98" spans="1:11" ht="14.5" x14ac:dyDescent="0.35">
      <c r="A98" s="224" t="s">
        <v>507</v>
      </c>
      <c r="B98" s="225">
        <v>45768</v>
      </c>
      <c r="C98" s="224" t="s">
        <v>220</v>
      </c>
      <c r="D98" s="224" t="s">
        <v>266</v>
      </c>
      <c r="E98" s="224" t="s">
        <v>204</v>
      </c>
      <c r="F98" s="224" t="s">
        <v>228</v>
      </c>
      <c r="G98" s="191">
        <v>11615</v>
      </c>
      <c r="H98" s="202">
        <f t="shared" ref="H98:H100" si="7">G98*12.5%</f>
        <v>1451.875</v>
      </c>
      <c r="I98" s="339"/>
      <c r="J98" s="329"/>
      <c r="K98" s="330"/>
    </row>
    <row r="99" spans="1:11" ht="14.5" x14ac:dyDescent="0.35">
      <c r="A99" s="224" t="s">
        <v>507</v>
      </c>
      <c r="B99" s="225">
        <v>45768</v>
      </c>
      <c r="C99" s="224" t="s">
        <v>207</v>
      </c>
      <c r="D99" s="224" t="s">
        <v>280</v>
      </c>
      <c r="E99" s="224" t="s">
        <v>204</v>
      </c>
      <c r="F99" s="224" t="s">
        <v>196</v>
      </c>
      <c r="G99" s="191">
        <v>4454</v>
      </c>
      <c r="H99" s="202">
        <f t="shared" si="7"/>
        <v>556.75</v>
      </c>
      <c r="I99" s="339"/>
      <c r="J99" s="329"/>
      <c r="K99" s="330"/>
    </row>
    <row r="100" spans="1:11" ht="14.5" x14ac:dyDescent="0.35">
      <c r="A100" s="224" t="s">
        <v>507</v>
      </c>
      <c r="B100" s="225">
        <v>45768</v>
      </c>
      <c r="C100" s="224" t="s">
        <v>306</v>
      </c>
      <c r="D100" s="224" t="s">
        <v>203</v>
      </c>
      <c r="E100" s="224" t="s">
        <v>204</v>
      </c>
      <c r="F100" s="224" t="s">
        <v>196</v>
      </c>
      <c r="G100" s="191">
        <v>3158</v>
      </c>
      <c r="H100" s="202">
        <f t="shared" si="7"/>
        <v>394.75</v>
      </c>
      <c r="I100" s="339"/>
      <c r="J100" s="329"/>
      <c r="K100" s="330"/>
    </row>
    <row r="101" spans="1:11" ht="14.5" x14ac:dyDescent="0.35">
      <c r="A101" s="224" t="s">
        <v>507</v>
      </c>
      <c r="B101" s="225">
        <v>45768</v>
      </c>
      <c r="C101" s="224" t="s">
        <v>306</v>
      </c>
      <c r="D101" s="224" t="s">
        <v>237</v>
      </c>
      <c r="E101" s="224" t="s">
        <v>204</v>
      </c>
      <c r="F101" s="224" t="s">
        <v>196</v>
      </c>
      <c r="G101" s="191">
        <v>2685</v>
      </c>
      <c r="H101" s="202">
        <v>335.63</v>
      </c>
      <c r="I101" s="340"/>
      <c r="J101" s="329"/>
      <c r="K101" s="330"/>
    </row>
    <row r="102" spans="1:11" ht="14.5" x14ac:dyDescent="0.35">
      <c r="A102" s="224" t="s">
        <v>509</v>
      </c>
      <c r="B102" s="225">
        <v>45404</v>
      </c>
      <c r="C102" s="224" t="s">
        <v>194</v>
      </c>
      <c r="D102" s="224" t="s">
        <v>195</v>
      </c>
      <c r="E102" s="224" t="s">
        <v>204</v>
      </c>
      <c r="F102" s="224" t="s">
        <v>196</v>
      </c>
      <c r="G102" s="191">
        <v>3750</v>
      </c>
      <c r="H102" s="193"/>
      <c r="I102" s="227"/>
      <c r="J102" s="329"/>
      <c r="K102" s="330"/>
    </row>
    <row r="103" spans="1:11" ht="14.5" x14ac:dyDescent="0.35">
      <c r="A103" s="224" t="s">
        <v>509</v>
      </c>
      <c r="B103" s="225">
        <v>45404</v>
      </c>
      <c r="C103" s="224" t="s">
        <v>267</v>
      </c>
      <c r="D103" s="224" t="s">
        <v>211</v>
      </c>
      <c r="E103" s="224" t="s">
        <v>204</v>
      </c>
      <c r="F103" s="224" t="s">
        <v>209</v>
      </c>
      <c r="G103" s="191">
        <v>5750</v>
      </c>
      <c r="H103" s="193">
        <f>G103*0.125</f>
        <v>718.75</v>
      </c>
      <c r="I103" s="227"/>
      <c r="J103" s="329"/>
      <c r="K103" s="330"/>
    </row>
    <row r="104" spans="1:11" ht="14.5" x14ac:dyDescent="0.35">
      <c r="A104" s="224" t="s">
        <v>470</v>
      </c>
      <c r="B104" s="225">
        <v>46135</v>
      </c>
      <c r="C104" s="224" t="s">
        <v>207</v>
      </c>
      <c r="D104" s="224" t="s">
        <v>208</v>
      </c>
      <c r="E104" s="224" t="s">
        <v>204</v>
      </c>
      <c r="F104" s="224" t="s">
        <v>196</v>
      </c>
      <c r="G104" s="191">
        <v>700</v>
      </c>
      <c r="H104" s="193">
        <f>G104*12.5%</f>
        <v>87.5</v>
      </c>
      <c r="I104" s="227"/>
      <c r="J104" s="329"/>
      <c r="K104" s="330"/>
    </row>
    <row r="105" spans="1:11" ht="14.5" x14ac:dyDescent="0.35">
      <c r="A105" s="224" t="s">
        <v>470</v>
      </c>
      <c r="B105" s="225">
        <v>46135</v>
      </c>
      <c r="C105" s="224" t="s">
        <v>306</v>
      </c>
      <c r="D105" s="224" t="s">
        <v>237</v>
      </c>
      <c r="E105" s="224" t="s">
        <v>204</v>
      </c>
      <c r="F105" s="224" t="s">
        <v>196</v>
      </c>
      <c r="G105" s="191">
        <v>1000</v>
      </c>
      <c r="H105" s="193">
        <f t="shared" ref="H105:H106" si="8">G105*12.5%</f>
        <v>125</v>
      </c>
      <c r="I105" s="227"/>
      <c r="J105" s="329"/>
      <c r="K105" s="330"/>
    </row>
    <row r="106" spans="1:11" ht="14.5" x14ac:dyDescent="0.35">
      <c r="A106" s="224" t="s">
        <v>470</v>
      </c>
      <c r="B106" s="225">
        <v>46135</v>
      </c>
      <c r="C106" s="224" t="s">
        <v>306</v>
      </c>
      <c r="D106" s="224" t="s">
        <v>216</v>
      </c>
      <c r="E106" s="224" t="s">
        <v>204</v>
      </c>
      <c r="F106" s="224" t="s">
        <v>196</v>
      </c>
      <c r="G106" s="191">
        <v>1000</v>
      </c>
      <c r="H106" s="193">
        <f t="shared" si="8"/>
        <v>125</v>
      </c>
      <c r="I106" s="227"/>
      <c r="J106" s="331"/>
      <c r="K106" s="332"/>
    </row>
    <row r="107" spans="1:11" ht="14.5" x14ac:dyDescent="0.35">
      <c r="A107" s="211"/>
      <c r="B107" s="212"/>
      <c r="C107" s="211"/>
      <c r="D107" s="211"/>
      <c r="E107" s="211"/>
      <c r="F107" s="228"/>
      <c r="G107" s="191"/>
      <c r="H107" s="202"/>
      <c r="I107" s="214">
        <f>SUM(H85:H107)</f>
        <v>18547.884999999998</v>
      </c>
      <c r="J107" s="215">
        <v>14478.06</v>
      </c>
      <c r="K107" s="215">
        <v>5392.65</v>
      </c>
    </row>
    <row r="108" spans="1:11" ht="14.5" x14ac:dyDescent="0.35">
      <c r="A108" s="186" t="s">
        <v>510</v>
      </c>
      <c r="B108" s="187">
        <v>45415</v>
      </c>
      <c r="C108" s="186" t="s">
        <v>258</v>
      </c>
      <c r="D108" s="186" t="s">
        <v>203</v>
      </c>
      <c r="E108" s="186" t="s">
        <v>204</v>
      </c>
      <c r="F108" s="192" t="s">
        <v>201</v>
      </c>
      <c r="G108" s="191">
        <v>30000</v>
      </c>
      <c r="H108" s="202">
        <f>G108*12.5%</f>
        <v>3750</v>
      </c>
      <c r="I108" s="333"/>
      <c r="J108" s="327"/>
      <c r="K108" s="328"/>
    </row>
    <row r="109" spans="1:11" ht="28" x14ac:dyDescent="0.35">
      <c r="A109" s="186" t="s">
        <v>510</v>
      </c>
      <c r="B109" s="187">
        <v>45780</v>
      </c>
      <c r="C109" s="186" t="s">
        <v>511</v>
      </c>
      <c r="D109" s="186" t="s">
        <v>232</v>
      </c>
      <c r="E109" s="186" t="s">
        <v>204</v>
      </c>
      <c r="F109" s="192" t="s">
        <v>228</v>
      </c>
      <c r="G109" s="191">
        <v>18000</v>
      </c>
      <c r="H109" s="202">
        <f>G109*12.5%</f>
        <v>2250</v>
      </c>
      <c r="I109" s="334"/>
      <c r="J109" s="329"/>
      <c r="K109" s="330"/>
    </row>
    <row r="110" spans="1:11" ht="14.5" x14ac:dyDescent="0.35">
      <c r="A110" s="186" t="s">
        <v>510</v>
      </c>
      <c r="B110" s="187">
        <v>45780</v>
      </c>
      <c r="C110" s="186" t="s">
        <v>205</v>
      </c>
      <c r="D110" s="186" t="s">
        <v>512</v>
      </c>
      <c r="E110" s="186" t="s">
        <v>449</v>
      </c>
      <c r="F110" s="192" t="s">
        <v>196</v>
      </c>
      <c r="G110" s="191">
        <v>5708</v>
      </c>
      <c r="H110" s="202">
        <v>713.5</v>
      </c>
      <c r="I110" s="335"/>
      <c r="J110" s="329"/>
      <c r="K110" s="330"/>
    </row>
    <row r="111" spans="1:11" ht="14.5" x14ac:dyDescent="0.35">
      <c r="A111" s="186" t="s">
        <v>513</v>
      </c>
      <c r="B111" s="187">
        <v>46145</v>
      </c>
      <c r="C111" s="186" t="s">
        <v>202</v>
      </c>
      <c r="D111" s="186">
        <v>1889</v>
      </c>
      <c r="E111" s="186" t="s">
        <v>204</v>
      </c>
      <c r="F111" s="192" t="s">
        <v>246</v>
      </c>
      <c r="G111" s="191">
        <v>25684</v>
      </c>
      <c r="H111" s="202">
        <v>3210.5</v>
      </c>
      <c r="I111" s="333"/>
      <c r="J111" s="329"/>
      <c r="K111" s="330"/>
    </row>
    <row r="112" spans="1:11" ht="14.5" x14ac:dyDescent="0.35">
      <c r="A112" s="186" t="s">
        <v>513</v>
      </c>
      <c r="B112" s="187">
        <v>46145</v>
      </c>
      <c r="C112" s="186" t="s">
        <v>298</v>
      </c>
      <c r="D112" s="186" t="s">
        <v>514</v>
      </c>
      <c r="E112" s="186" t="s">
        <v>204</v>
      </c>
      <c r="F112" s="192" t="s">
        <v>209</v>
      </c>
      <c r="G112" s="191">
        <v>14000</v>
      </c>
      <c r="H112" s="202">
        <f>G112*12.5%</f>
        <v>1750</v>
      </c>
      <c r="I112" s="335"/>
      <c r="J112" s="329"/>
      <c r="K112" s="330"/>
    </row>
    <row r="113" spans="1:11" ht="14.5" x14ac:dyDescent="0.35">
      <c r="A113" s="186" t="s">
        <v>515</v>
      </c>
      <c r="B113" s="187">
        <v>45050</v>
      </c>
      <c r="C113" s="186" t="s">
        <v>194</v>
      </c>
      <c r="D113" s="186" t="s">
        <v>195</v>
      </c>
      <c r="E113" s="186" t="s">
        <v>204</v>
      </c>
      <c r="F113" s="186" t="s">
        <v>196</v>
      </c>
      <c r="G113" s="229">
        <v>7313</v>
      </c>
      <c r="H113" s="202"/>
      <c r="I113" s="202"/>
      <c r="J113" s="329"/>
      <c r="K113" s="330"/>
    </row>
    <row r="114" spans="1:11" ht="14.5" x14ac:dyDescent="0.35">
      <c r="A114" s="186" t="s">
        <v>516</v>
      </c>
      <c r="B114" s="187">
        <v>45052</v>
      </c>
      <c r="C114" s="186" t="s">
        <v>433</v>
      </c>
      <c r="D114" s="186" t="s">
        <v>195</v>
      </c>
      <c r="E114" s="186" t="s">
        <v>204</v>
      </c>
      <c r="F114" s="186" t="s">
        <v>196</v>
      </c>
      <c r="G114" s="229">
        <v>17608</v>
      </c>
      <c r="H114" s="202"/>
      <c r="I114" s="202"/>
      <c r="J114" s="329"/>
      <c r="K114" s="330"/>
    </row>
    <row r="115" spans="1:11" ht="14.5" x14ac:dyDescent="0.35">
      <c r="A115" s="186" t="s">
        <v>517</v>
      </c>
      <c r="B115" s="187">
        <v>45784</v>
      </c>
      <c r="C115" s="186" t="s">
        <v>269</v>
      </c>
      <c r="D115" s="186" t="s">
        <v>270</v>
      </c>
      <c r="E115" s="186" t="s">
        <v>271</v>
      </c>
      <c r="F115" s="186" t="s">
        <v>196</v>
      </c>
      <c r="G115" s="230">
        <v>10222</v>
      </c>
      <c r="H115" s="189">
        <f>G115*12.5%</f>
        <v>1277.75</v>
      </c>
      <c r="I115" s="202"/>
      <c r="J115" s="329"/>
      <c r="K115" s="330"/>
    </row>
    <row r="116" spans="1:11" ht="14.5" x14ac:dyDescent="0.35">
      <c r="A116" s="186" t="s">
        <v>518</v>
      </c>
      <c r="B116" s="187">
        <v>45431</v>
      </c>
      <c r="C116" s="186" t="s">
        <v>205</v>
      </c>
      <c r="D116" s="186" t="s">
        <v>222</v>
      </c>
      <c r="E116" s="186" t="s">
        <v>449</v>
      </c>
      <c r="F116" s="186" t="s">
        <v>274</v>
      </c>
      <c r="G116" s="229">
        <v>4002</v>
      </c>
      <c r="H116" s="202">
        <v>500.25</v>
      </c>
      <c r="I116" s="202"/>
      <c r="J116" s="329"/>
      <c r="K116" s="330"/>
    </row>
    <row r="117" spans="1:11" ht="14.5" x14ac:dyDescent="0.35">
      <c r="A117" s="186" t="s">
        <v>518</v>
      </c>
      <c r="B117" s="187">
        <v>45065</v>
      </c>
      <c r="C117" s="186" t="s">
        <v>433</v>
      </c>
      <c r="D117" s="186" t="s">
        <v>479</v>
      </c>
      <c r="E117" s="186" t="s">
        <v>204</v>
      </c>
      <c r="F117" s="186" t="s">
        <v>519</v>
      </c>
      <c r="G117" s="229">
        <v>39000</v>
      </c>
      <c r="H117" s="202">
        <v>4875</v>
      </c>
      <c r="I117" s="202"/>
      <c r="J117" s="329"/>
      <c r="K117" s="330"/>
    </row>
    <row r="118" spans="1:11" ht="14.5" x14ac:dyDescent="0.35">
      <c r="A118" s="186" t="s">
        <v>518</v>
      </c>
      <c r="B118" s="187">
        <v>45065</v>
      </c>
      <c r="C118" s="186" t="s">
        <v>207</v>
      </c>
      <c r="D118" s="186" t="s">
        <v>208</v>
      </c>
      <c r="E118" s="186" t="s">
        <v>449</v>
      </c>
      <c r="F118" s="186" t="s">
        <v>196</v>
      </c>
      <c r="G118" s="229">
        <v>6402</v>
      </c>
      <c r="H118" s="202">
        <v>800.25</v>
      </c>
      <c r="I118" s="202"/>
      <c r="J118" s="329"/>
      <c r="K118" s="330"/>
    </row>
    <row r="119" spans="1:11" ht="14.5" x14ac:dyDescent="0.35">
      <c r="A119" s="186" t="s">
        <v>518</v>
      </c>
      <c r="B119" s="187">
        <v>45065</v>
      </c>
      <c r="C119" s="186" t="s">
        <v>520</v>
      </c>
      <c r="D119" s="186" t="s">
        <v>479</v>
      </c>
      <c r="E119" s="186" t="s">
        <v>204</v>
      </c>
      <c r="F119" s="186" t="s">
        <v>209</v>
      </c>
      <c r="G119" s="229">
        <v>11400</v>
      </c>
      <c r="H119" s="202">
        <v>1425</v>
      </c>
      <c r="I119" s="202"/>
      <c r="J119" s="329"/>
      <c r="K119" s="330"/>
    </row>
    <row r="120" spans="1:11" ht="23" customHeight="1" x14ac:dyDescent="0.35">
      <c r="A120" s="186" t="s">
        <v>521</v>
      </c>
      <c r="B120" s="187">
        <v>45065</v>
      </c>
      <c r="C120" s="186" t="s">
        <v>276</v>
      </c>
      <c r="D120" s="186" t="s">
        <v>270</v>
      </c>
      <c r="E120" s="186" t="s">
        <v>427</v>
      </c>
      <c r="F120" s="186" t="s">
        <v>277</v>
      </c>
      <c r="G120" s="230">
        <v>2982</v>
      </c>
      <c r="H120" s="189">
        <f>G120*0.1</f>
        <v>298.2</v>
      </c>
      <c r="I120" s="202"/>
      <c r="J120" s="329"/>
      <c r="K120" s="330"/>
    </row>
    <row r="121" spans="1:11" ht="14.5" x14ac:dyDescent="0.35">
      <c r="A121" s="186" t="s">
        <v>518</v>
      </c>
      <c r="B121" s="187">
        <v>45065</v>
      </c>
      <c r="C121" s="186" t="s">
        <v>269</v>
      </c>
      <c r="D121" s="186" t="s">
        <v>270</v>
      </c>
      <c r="E121" s="186" t="s">
        <v>427</v>
      </c>
      <c r="F121" s="186" t="s">
        <v>196</v>
      </c>
      <c r="G121" s="229">
        <v>357</v>
      </c>
      <c r="H121" s="202">
        <f>G121*0.1</f>
        <v>35.700000000000003</v>
      </c>
      <c r="I121" s="202"/>
      <c r="J121" s="329"/>
      <c r="K121" s="330"/>
    </row>
    <row r="122" spans="1:11" ht="14.5" x14ac:dyDescent="0.35">
      <c r="A122" s="186" t="s">
        <v>522</v>
      </c>
      <c r="B122" s="187">
        <v>45798</v>
      </c>
      <c r="C122" s="186" t="s">
        <v>278</v>
      </c>
      <c r="D122" s="186" t="s">
        <v>279</v>
      </c>
      <c r="E122" s="186" t="s">
        <v>204</v>
      </c>
      <c r="F122" s="186" t="s">
        <v>196</v>
      </c>
      <c r="G122" s="229">
        <v>1662</v>
      </c>
      <c r="H122" s="202">
        <f t="shared" ref="H122:H126" si="9">G122*0.125</f>
        <v>207.75</v>
      </c>
      <c r="I122" s="333"/>
      <c r="J122" s="329"/>
      <c r="K122" s="330"/>
    </row>
    <row r="123" spans="1:11" ht="14.5" x14ac:dyDescent="0.35">
      <c r="A123" s="186" t="s">
        <v>522</v>
      </c>
      <c r="B123" s="187">
        <v>45798</v>
      </c>
      <c r="C123" s="186" t="s">
        <v>220</v>
      </c>
      <c r="D123" s="186" t="s">
        <v>523</v>
      </c>
      <c r="E123" s="186" t="s">
        <v>204</v>
      </c>
      <c r="F123" s="186" t="s">
        <v>196</v>
      </c>
      <c r="G123" s="229">
        <v>1842</v>
      </c>
      <c r="H123" s="202">
        <f t="shared" si="9"/>
        <v>230.25</v>
      </c>
      <c r="I123" s="334"/>
      <c r="J123" s="329"/>
      <c r="K123" s="330"/>
    </row>
    <row r="124" spans="1:11" ht="14.5" x14ac:dyDescent="0.35">
      <c r="A124" s="186" t="s">
        <v>522</v>
      </c>
      <c r="B124" s="187">
        <v>45798</v>
      </c>
      <c r="C124" s="186" t="s">
        <v>524</v>
      </c>
      <c r="D124" s="186" t="s">
        <v>280</v>
      </c>
      <c r="E124" s="186" t="s">
        <v>204</v>
      </c>
      <c r="F124" s="186" t="s">
        <v>196</v>
      </c>
      <c r="G124" s="229">
        <v>1346</v>
      </c>
      <c r="H124" s="202">
        <f t="shared" si="9"/>
        <v>168.25</v>
      </c>
      <c r="I124" s="334"/>
      <c r="J124" s="329"/>
      <c r="K124" s="330"/>
    </row>
    <row r="125" spans="1:11" ht="14.5" x14ac:dyDescent="0.35">
      <c r="A125" s="186" t="s">
        <v>522</v>
      </c>
      <c r="B125" s="187">
        <v>45798</v>
      </c>
      <c r="C125" s="186" t="s">
        <v>525</v>
      </c>
      <c r="D125" s="186" t="s">
        <v>477</v>
      </c>
      <c r="E125" s="186" t="s">
        <v>271</v>
      </c>
      <c r="F125" s="186" t="s">
        <v>480</v>
      </c>
      <c r="G125" s="230">
        <v>445</v>
      </c>
      <c r="H125" s="189">
        <f t="shared" si="9"/>
        <v>55.625</v>
      </c>
      <c r="I125" s="335"/>
      <c r="J125" s="329"/>
      <c r="K125" s="330"/>
    </row>
    <row r="126" spans="1:11" ht="14.5" x14ac:dyDescent="0.35">
      <c r="A126" s="186" t="s">
        <v>526</v>
      </c>
      <c r="B126" s="187">
        <v>46163</v>
      </c>
      <c r="C126" s="186" t="s">
        <v>207</v>
      </c>
      <c r="D126" s="186" t="s">
        <v>280</v>
      </c>
      <c r="E126" s="186" t="s">
        <v>204</v>
      </c>
      <c r="F126" s="186" t="s">
        <v>196</v>
      </c>
      <c r="G126" s="229">
        <v>700</v>
      </c>
      <c r="H126" s="202">
        <f t="shared" si="9"/>
        <v>87.5</v>
      </c>
      <c r="I126" s="221"/>
      <c r="J126" s="329"/>
      <c r="K126" s="330"/>
    </row>
    <row r="127" spans="1:11" ht="14.5" x14ac:dyDescent="0.35">
      <c r="A127" s="186" t="s">
        <v>526</v>
      </c>
      <c r="B127" s="187">
        <v>46163</v>
      </c>
      <c r="C127" s="186" t="s">
        <v>194</v>
      </c>
      <c r="D127" s="186" t="s">
        <v>195</v>
      </c>
      <c r="E127" s="186" t="s">
        <v>204</v>
      </c>
      <c r="F127" s="186" t="s">
        <v>196</v>
      </c>
      <c r="G127" s="229">
        <v>2500</v>
      </c>
      <c r="H127" s="202"/>
      <c r="I127" s="221"/>
      <c r="J127" s="329"/>
      <c r="K127" s="330"/>
    </row>
    <row r="128" spans="1:11" ht="14.5" x14ac:dyDescent="0.35">
      <c r="A128" s="186" t="s">
        <v>527</v>
      </c>
      <c r="B128" s="187">
        <v>46166</v>
      </c>
      <c r="C128" s="186" t="s">
        <v>207</v>
      </c>
      <c r="D128" s="186" t="s">
        <v>280</v>
      </c>
      <c r="E128" s="186" t="s">
        <v>204</v>
      </c>
      <c r="F128" s="186" t="s">
        <v>196</v>
      </c>
      <c r="G128" s="229">
        <v>7775</v>
      </c>
      <c r="H128" s="202">
        <v>971.88</v>
      </c>
      <c r="I128" s="333"/>
      <c r="J128" s="329"/>
      <c r="K128" s="330"/>
    </row>
    <row r="129" spans="1:11" ht="14.5" x14ac:dyDescent="0.35">
      <c r="A129" s="186" t="s">
        <v>527</v>
      </c>
      <c r="B129" s="187">
        <v>46166</v>
      </c>
      <c r="C129" s="186" t="s">
        <v>528</v>
      </c>
      <c r="D129" s="186" t="s">
        <v>529</v>
      </c>
      <c r="E129" s="186" t="s">
        <v>204</v>
      </c>
      <c r="F129" s="186" t="s">
        <v>246</v>
      </c>
      <c r="G129" s="229">
        <v>9302</v>
      </c>
      <c r="H129" s="202">
        <v>1162.75</v>
      </c>
      <c r="I129" s="335"/>
      <c r="J129" s="331"/>
      <c r="K129" s="332"/>
    </row>
    <row r="130" spans="1:11" ht="14.5" x14ac:dyDescent="0.35">
      <c r="A130" s="186" t="s">
        <v>530</v>
      </c>
      <c r="B130" s="187">
        <v>46168</v>
      </c>
      <c r="C130" s="186" t="s">
        <v>194</v>
      </c>
      <c r="D130" s="186" t="s">
        <v>195</v>
      </c>
      <c r="E130" s="186" t="s">
        <v>204</v>
      </c>
      <c r="F130" s="186" t="s">
        <v>196</v>
      </c>
      <c r="G130" s="229">
        <v>3125</v>
      </c>
      <c r="H130" s="202"/>
      <c r="I130" s="222"/>
      <c r="J130" s="231"/>
      <c r="K130" s="232"/>
    </row>
    <row r="131" spans="1:11" ht="14.5" x14ac:dyDescent="0.35">
      <c r="A131" s="233"/>
      <c r="B131" s="197"/>
      <c r="C131" s="233"/>
      <c r="D131" s="233"/>
      <c r="E131" s="233"/>
      <c r="F131" s="233"/>
      <c r="G131" s="191"/>
      <c r="H131" s="202"/>
      <c r="I131" s="234">
        <f>SUM(H108:H131)</f>
        <v>23770.155000000002</v>
      </c>
      <c r="J131" s="235">
        <v>70602.789999999994</v>
      </c>
      <c r="K131" s="235">
        <v>924.3</v>
      </c>
    </row>
    <row r="132" spans="1:11" ht="14.5" x14ac:dyDescent="0.35">
      <c r="A132" s="186" t="s">
        <v>531</v>
      </c>
      <c r="B132" s="187">
        <v>45078</v>
      </c>
      <c r="C132" s="186" t="s">
        <v>207</v>
      </c>
      <c r="D132" s="186" t="s">
        <v>532</v>
      </c>
      <c r="E132" s="186" t="s">
        <v>441</v>
      </c>
      <c r="F132" s="186" t="s">
        <v>196</v>
      </c>
      <c r="G132" s="191">
        <v>1562</v>
      </c>
      <c r="H132" s="202">
        <v>171.82</v>
      </c>
      <c r="I132" s="202"/>
      <c r="J132" s="327"/>
      <c r="K132" s="328"/>
    </row>
    <row r="133" spans="1:11" ht="14.5" x14ac:dyDescent="0.35">
      <c r="A133" s="186" t="s">
        <v>533</v>
      </c>
      <c r="B133" s="187">
        <v>45444</v>
      </c>
      <c r="C133" s="186" t="s">
        <v>433</v>
      </c>
      <c r="D133" s="186" t="s">
        <v>195</v>
      </c>
      <c r="E133" s="186" t="s">
        <v>204</v>
      </c>
      <c r="F133" s="186" t="s">
        <v>196</v>
      </c>
      <c r="G133" s="191">
        <v>3454</v>
      </c>
      <c r="H133" s="202"/>
      <c r="I133" s="202"/>
      <c r="J133" s="329"/>
      <c r="K133" s="330"/>
    </row>
    <row r="134" spans="1:11" ht="28" x14ac:dyDescent="0.35">
      <c r="A134" s="186" t="s">
        <v>534</v>
      </c>
      <c r="B134" s="187" t="s">
        <v>535</v>
      </c>
      <c r="C134" s="186" t="s">
        <v>194</v>
      </c>
      <c r="D134" s="186" t="s">
        <v>195</v>
      </c>
      <c r="E134" s="186" t="s">
        <v>204</v>
      </c>
      <c r="F134" s="186" t="s">
        <v>201</v>
      </c>
      <c r="G134" s="191">
        <v>15308</v>
      </c>
      <c r="H134" s="202"/>
      <c r="I134" s="220"/>
      <c r="J134" s="329"/>
      <c r="K134" s="330"/>
    </row>
    <row r="135" spans="1:11" ht="28" x14ac:dyDescent="0.35">
      <c r="A135" s="186" t="s">
        <v>536</v>
      </c>
      <c r="B135" s="187" t="s">
        <v>537</v>
      </c>
      <c r="C135" s="186" t="s">
        <v>220</v>
      </c>
      <c r="D135" s="186" t="s">
        <v>538</v>
      </c>
      <c r="E135" s="186" t="s">
        <v>335</v>
      </c>
      <c r="F135" s="186" t="s">
        <v>196</v>
      </c>
      <c r="G135" s="191">
        <v>1403</v>
      </c>
      <c r="H135" s="202">
        <v>175.38</v>
      </c>
      <c r="I135" s="333"/>
      <c r="J135" s="329"/>
      <c r="K135" s="330"/>
    </row>
    <row r="136" spans="1:11" ht="28" x14ac:dyDescent="0.35">
      <c r="A136" s="186" t="s">
        <v>536</v>
      </c>
      <c r="B136" s="187" t="s">
        <v>537</v>
      </c>
      <c r="C136" s="186" t="s">
        <v>207</v>
      </c>
      <c r="D136" s="186" t="s">
        <v>280</v>
      </c>
      <c r="E136" s="186" t="s">
        <v>204</v>
      </c>
      <c r="F136" s="186" t="s">
        <v>196</v>
      </c>
      <c r="G136" s="191">
        <v>1114</v>
      </c>
      <c r="H136" s="202">
        <f>G136*12.5%</f>
        <v>139.25</v>
      </c>
      <c r="I136" s="335"/>
      <c r="J136" s="329"/>
      <c r="K136" s="330"/>
    </row>
    <row r="137" spans="1:11" ht="14.5" x14ac:dyDescent="0.35">
      <c r="A137" s="186" t="s">
        <v>539</v>
      </c>
      <c r="B137" s="187">
        <v>45813</v>
      </c>
      <c r="C137" s="186" t="s">
        <v>194</v>
      </c>
      <c r="D137" s="186" t="s">
        <v>197</v>
      </c>
      <c r="E137" s="186" t="s">
        <v>204</v>
      </c>
      <c r="F137" s="186" t="s">
        <v>282</v>
      </c>
      <c r="G137" s="191">
        <v>3000</v>
      </c>
      <c r="H137" s="202">
        <f>G137*12.5%</f>
        <v>375</v>
      </c>
      <c r="I137" s="202"/>
      <c r="J137" s="329"/>
      <c r="K137" s="330"/>
    </row>
    <row r="138" spans="1:11" ht="14.5" x14ac:dyDescent="0.35">
      <c r="A138" s="190" t="s">
        <v>540</v>
      </c>
      <c r="B138" s="187">
        <v>46184</v>
      </c>
      <c r="C138" s="190" t="s">
        <v>215</v>
      </c>
      <c r="D138" s="190" t="s">
        <v>541</v>
      </c>
      <c r="E138" s="190" t="s">
        <v>441</v>
      </c>
      <c r="F138" s="194" t="s">
        <v>519</v>
      </c>
      <c r="G138" s="195">
        <v>92282</v>
      </c>
      <c r="H138" s="193">
        <f>G138*12.5%</f>
        <v>11535.25</v>
      </c>
      <c r="I138" s="236"/>
      <c r="J138" s="329"/>
      <c r="K138" s="330"/>
    </row>
    <row r="139" spans="1:11" ht="28" x14ac:dyDescent="0.35">
      <c r="A139" s="190" t="s">
        <v>542</v>
      </c>
      <c r="B139" s="187" t="s">
        <v>543</v>
      </c>
      <c r="C139" s="190" t="s">
        <v>207</v>
      </c>
      <c r="D139" s="190" t="s">
        <v>544</v>
      </c>
      <c r="E139" s="190" t="s">
        <v>441</v>
      </c>
      <c r="F139" s="194" t="s">
        <v>480</v>
      </c>
      <c r="G139" s="195">
        <v>4095</v>
      </c>
      <c r="H139" s="193">
        <f>G139*0.125</f>
        <v>511.875</v>
      </c>
      <c r="I139" s="237"/>
      <c r="J139" s="329"/>
      <c r="K139" s="330"/>
    </row>
    <row r="140" spans="1:11" ht="28" x14ac:dyDescent="0.35">
      <c r="A140" s="190" t="s">
        <v>542</v>
      </c>
      <c r="B140" s="187" t="s">
        <v>545</v>
      </c>
      <c r="C140" s="190" t="s">
        <v>217</v>
      </c>
      <c r="D140" s="190" t="s">
        <v>546</v>
      </c>
      <c r="E140" s="190" t="s">
        <v>441</v>
      </c>
      <c r="F140" s="194" t="s">
        <v>480</v>
      </c>
      <c r="G140" s="195">
        <v>2770</v>
      </c>
      <c r="H140" s="193">
        <v>346.25</v>
      </c>
      <c r="I140" s="237"/>
      <c r="J140" s="329"/>
      <c r="K140" s="330"/>
    </row>
    <row r="141" spans="1:11" ht="14.5" x14ac:dyDescent="0.35">
      <c r="A141" s="186" t="s">
        <v>540</v>
      </c>
      <c r="B141" s="187">
        <v>45819</v>
      </c>
      <c r="C141" s="186" t="s">
        <v>205</v>
      </c>
      <c r="D141" s="186" t="s">
        <v>222</v>
      </c>
      <c r="E141" s="186" t="s">
        <v>204</v>
      </c>
      <c r="F141" s="186" t="s">
        <v>196</v>
      </c>
      <c r="G141" s="202">
        <v>3296</v>
      </c>
      <c r="H141" s="202">
        <f>G141*12.5%</f>
        <v>412</v>
      </c>
      <c r="I141" s="238"/>
      <c r="J141" s="329"/>
      <c r="K141" s="330"/>
    </row>
    <row r="142" spans="1:11" ht="14.5" x14ac:dyDescent="0.35">
      <c r="A142" s="186" t="s">
        <v>547</v>
      </c>
      <c r="B142" s="187">
        <v>45088</v>
      </c>
      <c r="C142" s="186" t="s">
        <v>433</v>
      </c>
      <c r="D142" s="186" t="s">
        <v>222</v>
      </c>
      <c r="E142" s="186" t="s">
        <v>441</v>
      </c>
      <c r="F142" s="186" t="s">
        <v>196</v>
      </c>
      <c r="G142" s="191">
        <v>9224</v>
      </c>
      <c r="H142" s="202">
        <v>1153</v>
      </c>
      <c r="I142" s="202"/>
      <c r="J142" s="329"/>
      <c r="K142" s="330"/>
    </row>
    <row r="143" spans="1:11" ht="28" x14ac:dyDescent="0.35">
      <c r="A143" s="186" t="s">
        <v>548</v>
      </c>
      <c r="B143" s="187">
        <v>45827</v>
      </c>
      <c r="C143" s="186" t="s">
        <v>194</v>
      </c>
      <c r="D143" s="186" t="s">
        <v>195</v>
      </c>
      <c r="E143" s="186" t="s">
        <v>204</v>
      </c>
      <c r="F143" s="186" t="s">
        <v>196</v>
      </c>
      <c r="G143" s="191">
        <v>4078</v>
      </c>
      <c r="H143" s="202"/>
      <c r="I143" s="202"/>
      <c r="J143" s="329"/>
      <c r="K143" s="330"/>
    </row>
    <row r="144" spans="1:11" ht="28" x14ac:dyDescent="0.35">
      <c r="A144" s="186" t="s">
        <v>549</v>
      </c>
      <c r="B144" s="187">
        <v>45100</v>
      </c>
      <c r="C144" s="186" t="s">
        <v>194</v>
      </c>
      <c r="D144" s="186" t="s">
        <v>195</v>
      </c>
      <c r="E144" s="186" t="s">
        <v>204</v>
      </c>
      <c r="F144" s="186" t="s">
        <v>209</v>
      </c>
      <c r="G144" s="191">
        <v>11057</v>
      </c>
      <c r="H144" s="202"/>
      <c r="I144" s="202"/>
      <c r="J144" s="329"/>
      <c r="K144" s="330"/>
    </row>
    <row r="145" spans="1:11" ht="14.5" x14ac:dyDescent="0.35">
      <c r="A145" s="186" t="s">
        <v>550</v>
      </c>
      <c r="B145" s="187">
        <v>45835</v>
      </c>
      <c r="C145" s="186" t="s">
        <v>194</v>
      </c>
      <c r="D145" s="186" t="s">
        <v>195</v>
      </c>
      <c r="E145" s="186" t="s">
        <v>204</v>
      </c>
      <c r="F145" s="186" t="s">
        <v>196</v>
      </c>
      <c r="G145" s="191">
        <v>3125</v>
      </c>
      <c r="H145" s="202"/>
      <c r="I145" s="202"/>
      <c r="J145" s="329"/>
      <c r="K145" s="330"/>
    </row>
    <row r="146" spans="1:11" ht="28" x14ac:dyDescent="0.35">
      <c r="A146" s="186" t="s">
        <v>551</v>
      </c>
      <c r="B146" s="187">
        <v>45836</v>
      </c>
      <c r="C146" s="186" t="s">
        <v>283</v>
      </c>
      <c r="D146" s="186" t="s">
        <v>275</v>
      </c>
      <c r="E146" s="186" t="s">
        <v>204</v>
      </c>
      <c r="F146" s="186" t="s">
        <v>209</v>
      </c>
      <c r="G146" s="191">
        <v>14247</v>
      </c>
      <c r="H146" s="202">
        <v>1780.88</v>
      </c>
      <c r="I146" s="202"/>
      <c r="J146" s="329"/>
      <c r="K146" s="330"/>
    </row>
    <row r="147" spans="1:11" ht="14.5" x14ac:dyDescent="0.35">
      <c r="A147" s="186" t="s">
        <v>551</v>
      </c>
      <c r="B147" s="187">
        <v>45836</v>
      </c>
      <c r="C147" s="186" t="s">
        <v>268</v>
      </c>
      <c r="D147" s="186" t="s">
        <v>266</v>
      </c>
      <c r="E147" s="186" t="s">
        <v>204</v>
      </c>
      <c r="F147" s="186" t="s">
        <v>246</v>
      </c>
      <c r="G147" s="191">
        <v>11125</v>
      </c>
      <c r="H147" s="202">
        <v>1390.63</v>
      </c>
      <c r="I147" s="202"/>
      <c r="J147" s="329"/>
      <c r="K147" s="330"/>
    </row>
    <row r="148" spans="1:11" ht="14.5" x14ac:dyDescent="0.35">
      <c r="A148" s="186" t="s">
        <v>551</v>
      </c>
      <c r="B148" s="187">
        <v>45836</v>
      </c>
      <c r="C148" s="186" t="s">
        <v>268</v>
      </c>
      <c r="D148" s="186" t="s">
        <v>237</v>
      </c>
      <c r="E148" s="186" t="s">
        <v>204</v>
      </c>
      <c r="F148" s="186" t="s">
        <v>201</v>
      </c>
      <c r="G148" s="191">
        <v>12685</v>
      </c>
      <c r="H148" s="202">
        <f>G148*0.125</f>
        <v>1585.625</v>
      </c>
      <c r="I148" s="202"/>
      <c r="J148" s="329"/>
      <c r="K148" s="330"/>
    </row>
    <row r="149" spans="1:11" ht="14.5" x14ac:dyDescent="0.35">
      <c r="A149" s="186" t="s">
        <v>552</v>
      </c>
      <c r="B149" s="187">
        <v>46201</v>
      </c>
      <c r="C149" s="186" t="s">
        <v>433</v>
      </c>
      <c r="D149" s="186" t="s">
        <v>195</v>
      </c>
      <c r="E149" s="186" t="s">
        <v>262</v>
      </c>
      <c r="F149" s="186" t="s">
        <v>201</v>
      </c>
      <c r="G149" s="239">
        <v>19456</v>
      </c>
      <c r="H149" s="202"/>
      <c r="I149" s="202"/>
      <c r="J149" s="329"/>
      <c r="K149" s="330"/>
    </row>
    <row r="150" spans="1:11" ht="14.5" x14ac:dyDescent="0.35">
      <c r="A150" s="186" t="s">
        <v>552</v>
      </c>
      <c r="B150" s="187">
        <v>45471</v>
      </c>
      <c r="C150" s="186" t="s">
        <v>267</v>
      </c>
      <c r="D150" s="186" t="s">
        <v>284</v>
      </c>
      <c r="E150" s="186" t="s">
        <v>262</v>
      </c>
      <c r="F150" s="186" t="s">
        <v>201</v>
      </c>
      <c r="G150" s="240">
        <v>13169</v>
      </c>
      <c r="H150" s="241">
        <v>1646.13</v>
      </c>
      <c r="I150" s="241"/>
      <c r="J150" s="331"/>
      <c r="K150" s="332"/>
    </row>
    <row r="151" spans="1:11" ht="14.5" x14ac:dyDescent="0.35">
      <c r="A151" s="233"/>
      <c r="B151" s="197"/>
      <c r="C151" s="233"/>
      <c r="D151" s="233"/>
      <c r="E151" s="233"/>
      <c r="F151" s="233"/>
      <c r="G151" s="240"/>
      <c r="H151" s="241"/>
      <c r="I151" s="242">
        <f>SUM(H132:H151)</f>
        <v>21223.090000000004</v>
      </c>
      <c r="J151" s="235">
        <v>8320.92</v>
      </c>
      <c r="K151" s="235"/>
    </row>
    <row r="152" spans="1:11" ht="14.5" x14ac:dyDescent="0.35">
      <c r="A152" s="186" t="s">
        <v>553</v>
      </c>
      <c r="B152" s="187">
        <v>45839</v>
      </c>
      <c r="C152" s="186" t="s">
        <v>220</v>
      </c>
      <c r="D152" s="186" t="s">
        <v>197</v>
      </c>
      <c r="E152" s="186" t="s">
        <v>204</v>
      </c>
      <c r="F152" s="186" t="s">
        <v>209</v>
      </c>
      <c r="G152" s="240">
        <v>1503</v>
      </c>
      <c r="H152" s="202">
        <f>G152*12.5%</f>
        <v>187.875</v>
      </c>
      <c r="I152" s="202"/>
      <c r="J152" s="327"/>
      <c r="K152" s="328"/>
    </row>
    <row r="153" spans="1:11" ht="14.5" x14ac:dyDescent="0.35">
      <c r="A153" s="186" t="s">
        <v>554</v>
      </c>
      <c r="B153" s="187">
        <v>46213</v>
      </c>
      <c r="C153" s="186" t="s">
        <v>220</v>
      </c>
      <c r="D153" s="186" t="s">
        <v>555</v>
      </c>
      <c r="E153" s="186" t="s">
        <v>431</v>
      </c>
      <c r="F153" s="186" t="s">
        <v>196</v>
      </c>
      <c r="G153" s="240">
        <v>1557</v>
      </c>
      <c r="H153" s="202">
        <v>194.63</v>
      </c>
      <c r="I153" s="333"/>
      <c r="J153" s="329"/>
      <c r="K153" s="330"/>
    </row>
    <row r="154" spans="1:11" ht="14.5" x14ac:dyDescent="0.35">
      <c r="A154" s="186" t="s">
        <v>554</v>
      </c>
      <c r="B154" s="187">
        <v>46213</v>
      </c>
      <c r="C154" s="186" t="s">
        <v>207</v>
      </c>
      <c r="D154" s="186" t="s">
        <v>280</v>
      </c>
      <c r="E154" s="186" t="s">
        <v>431</v>
      </c>
      <c r="F154" s="186" t="s">
        <v>480</v>
      </c>
      <c r="G154" s="240">
        <v>700</v>
      </c>
      <c r="H154" s="202">
        <v>87.5</v>
      </c>
      <c r="I154" s="335"/>
      <c r="J154" s="329"/>
      <c r="K154" s="330"/>
    </row>
    <row r="155" spans="1:11" ht="14.5" x14ac:dyDescent="0.35">
      <c r="A155" s="186" t="s">
        <v>556</v>
      </c>
      <c r="B155" s="187">
        <v>45848</v>
      </c>
      <c r="C155" s="186" t="s">
        <v>445</v>
      </c>
      <c r="D155" s="186" t="s">
        <v>270</v>
      </c>
      <c r="E155" s="186" t="s">
        <v>431</v>
      </c>
      <c r="F155" s="186" t="s">
        <v>209</v>
      </c>
      <c r="G155" s="243">
        <v>4659</v>
      </c>
      <c r="H155" s="202">
        <v>582.38</v>
      </c>
      <c r="I155" s="202"/>
      <c r="J155" s="329"/>
      <c r="K155" s="330"/>
    </row>
    <row r="156" spans="1:11" ht="14.5" x14ac:dyDescent="0.35">
      <c r="A156" s="186" t="s">
        <v>557</v>
      </c>
      <c r="B156" s="187">
        <v>45119</v>
      </c>
      <c r="C156" s="186" t="s">
        <v>207</v>
      </c>
      <c r="D156" s="186" t="s">
        <v>208</v>
      </c>
      <c r="E156" s="186" t="s">
        <v>204</v>
      </c>
      <c r="F156" s="186" t="s">
        <v>196</v>
      </c>
      <c r="G156" s="239">
        <v>900</v>
      </c>
      <c r="H156" s="202">
        <v>112.5</v>
      </c>
      <c r="I156" s="333"/>
      <c r="J156" s="329"/>
      <c r="K156" s="330"/>
    </row>
    <row r="157" spans="1:11" ht="14.5" x14ac:dyDescent="0.35">
      <c r="A157" s="186" t="s">
        <v>557</v>
      </c>
      <c r="B157" s="187">
        <v>45119</v>
      </c>
      <c r="C157" s="186" t="s">
        <v>433</v>
      </c>
      <c r="D157" s="186" t="s">
        <v>195</v>
      </c>
      <c r="E157" s="186" t="s">
        <v>335</v>
      </c>
      <c r="F157" s="186" t="s">
        <v>201</v>
      </c>
      <c r="G157" s="191">
        <v>59459</v>
      </c>
      <c r="H157" s="202"/>
      <c r="I157" s="334"/>
      <c r="J157" s="329"/>
      <c r="K157" s="330"/>
    </row>
    <row r="158" spans="1:11" ht="14.5" x14ac:dyDescent="0.35">
      <c r="A158" s="186" t="s">
        <v>557</v>
      </c>
      <c r="B158" s="187">
        <v>45119</v>
      </c>
      <c r="C158" s="186" t="s">
        <v>267</v>
      </c>
      <c r="D158" s="186" t="s">
        <v>285</v>
      </c>
      <c r="E158" s="186" t="s">
        <v>335</v>
      </c>
      <c r="F158" s="186" t="s">
        <v>201</v>
      </c>
      <c r="G158" s="191">
        <v>35675</v>
      </c>
      <c r="H158" s="202">
        <f>G158*12%</f>
        <v>4281</v>
      </c>
      <c r="I158" s="335"/>
      <c r="J158" s="329"/>
      <c r="K158" s="330"/>
    </row>
    <row r="159" spans="1:11" ht="14.5" x14ac:dyDescent="0.35">
      <c r="A159" s="186" t="s">
        <v>558</v>
      </c>
      <c r="B159" s="187">
        <v>45488</v>
      </c>
      <c r="C159" s="186" t="s">
        <v>220</v>
      </c>
      <c r="D159" s="186" t="s">
        <v>251</v>
      </c>
      <c r="E159" s="186" t="s">
        <v>204</v>
      </c>
      <c r="F159" s="186" t="s">
        <v>196</v>
      </c>
      <c r="G159" s="191">
        <v>1750</v>
      </c>
      <c r="H159" s="202">
        <v>218.75</v>
      </c>
      <c r="I159" s="202"/>
      <c r="J159" s="329"/>
      <c r="K159" s="330"/>
    </row>
    <row r="160" spans="1:11" ht="14.5" x14ac:dyDescent="0.35">
      <c r="A160" s="186" t="s">
        <v>559</v>
      </c>
      <c r="B160" s="187">
        <v>45859</v>
      </c>
      <c r="C160" s="186" t="s">
        <v>286</v>
      </c>
      <c r="D160" s="186" t="s">
        <v>560</v>
      </c>
      <c r="E160" s="186" t="s">
        <v>431</v>
      </c>
      <c r="F160" s="186" t="s">
        <v>228</v>
      </c>
      <c r="G160" s="191">
        <v>25000</v>
      </c>
      <c r="H160" s="202">
        <f>G160*12.5%</f>
        <v>3125</v>
      </c>
      <c r="I160" s="202"/>
      <c r="J160" s="329"/>
      <c r="K160" s="330"/>
    </row>
    <row r="161" spans="1:11" ht="14.5" x14ac:dyDescent="0.35">
      <c r="A161" s="186" t="s">
        <v>561</v>
      </c>
      <c r="B161" s="187">
        <v>46226</v>
      </c>
      <c r="C161" s="186" t="s">
        <v>562</v>
      </c>
      <c r="D161" s="186" t="s">
        <v>563</v>
      </c>
      <c r="E161" s="186" t="s">
        <v>431</v>
      </c>
      <c r="F161" s="186" t="s">
        <v>228</v>
      </c>
      <c r="G161" s="191">
        <v>28000</v>
      </c>
      <c r="H161" s="202">
        <v>3500</v>
      </c>
      <c r="I161" s="202"/>
      <c r="J161" s="329"/>
      <c r="K161" s="330"/>
    </row>
    <row r="162" spans="1:11" ht="42" x14ac:dyDescent="0.35">
      <c r="A162" s="186" t="s">
        <v>564</v>
      </c>
      <c r="B162" s="187">
        <v>45497</v>
      </c>
      <c r="C162" s="186" t="s">
        <v>433</v>
      </c>
      <c r="D162" s="186" t="s">
        <v>197</v>
      </c>
      <c r="E162" s="186" t="s">
        <v>204</v>
      </c>
      <c r="F162" s="186" t="s">
        <v>287</v>
      </c>
      <c r="G162" s="191">
        <v>2248</v>
      </c>
      <c r="H162" s="202">
        <f>G162*12.5%</f>
        <v>281</v>
      </c>
      <c r="I162" s="202"/>
      <c r="J162" s="329"/>
      <c r="K162" s="330"/>
    </row>
    <row r="163" spans="1:11" ht="14.5" x14ac:dyDescent="0.35">
      <c r="A163" s="186" t="s">
        <v>565</v>
      </c>
      <c r="B163" s="187">
        <v>46227</v>
      </c>
      <c r="C163" s="186" t="s">
        <v>272</v>
      </c>
      <c r="D163" s="186" t="s">
        <v>197</v>
      </c>
      <c r="E163" s="186" t="s">
        <v>204</v>
      </c>
      <c r="F163" s="186" t="s">
        <v>243</v>
      </c>
      <c r="G163" s="229">
        <v>24237</v>
      </c>
      <c r="H163" s="202">
        <f>G163*12.5%</f>
        <v>3029.625</v>
      </c>
      <c r="I163" s="202"/>
      <c r="J163" s="329"/>
      <c r="K163" s="330"/>
    </row>
    <row r="164" spans="1:11" ht="14.5" x14ac:dyDescent="0.35">
      <c r="A164" s="186" t="s">
        <v>566</v>
      </c>
      <c r="B164" s="187">
        <v>46227</v>
      </c>
      <c r="C164" s="186" t="s">
        <v>207</v>
      </c>
      <c r="D164" s="186" t="s">
        <v>208</v>
      </c>
      <c r="E164" s="186" t="s">
        <v>204</v>
      </c>
      <c r="F164" s="186" t="s">
        <v>196</v>
      </c>
      <c r="G164" s="229">
        <v>5304</v>
      </c>
      <c r="H164" s="202">
        <f>G164*12.5%</f>
        <v>663</v>
      </c>
      <c r="I164" s="202"/>
      <c r="J164" s="329"/>
      <c r="K164" s="330"/>
    </row>
    <row r="165" spans="1:11" ht="14.5" x14ac:dyDescent="0.35">
      <c r="A165" s="186" t="s">
        <v>567</v>
      </c>
      <c r="B165" s="187">
        <v>44768</v>
      </c>
      <c r="C165" s="186" t="s">
        <v>433</v>
      </c>
      <c r="D165" s="186" t="s">
        <v>195</v>
      </c>
      <c r="E165" s="186" t="s">
        <v>431</v>
      </c>
      <c r="F165" s="186" t="s">
        <v>196</v>
      </c>
      <c r="G165" s="191">
        <v>6825</v>
      </c>
      <c r="H165" s="202"/>
      <c r="I165" s="333"/>
      <c r="J165" s="329"/>
      <c r="K165" s="330"/>
    </row>
    <row r="166" spans="1:11" ht="14.5" x14ac:dyDescent="0.35">
      <c r="A166" s="186" t="s">
        <v>567</v>
      </c>
      <c r="B166" s="187">
        <v>44768</v>
      </c>
      <c r="C166" s="186" t="s">
        <v>207</v>
      </c>
      <c r="D166" s="186" t="s">
        <v>208</v>
      </c>
      <c r="E166" s="186" t="s">
        <v>431</v>
      </c>
      <c r="F166" s="186" t="s">
        <v>196</v>
      </c>
      <c r="G166" s="191">
        <v>700</v>
      </c>
      <c r="H166" s="202">
        <f>G166*12.5%</f>
        <v>87.5</v>
      </c>
      <c r="I166" s="335"/>
      <c r="J166" s="331"/>
      <c r="K166" s="332"/>
    </row>
    <row r="167" spans="1:11" ht="14.5" x14ac:dyDescent="0.35">
      <c r="A167" s="233"/>
      <c r="B167" s="197"/>
      <c r="C167" s="233"/>
      <c r="D167" s="233"/>
      <c r="E167" s="233"/>
      <c r="F167" s="233"/>
      <c r="G167" s="244"/>
      <c r="H167" s="234"/>
      <c r="I167" s="234">
        <f>SUM(H152:H167)</f>
        <v>16350.76</v>
      </c>
      <c r="J167" s="235">
        <v>7307.14</v>
      </c>
      <c r="K167" s="235"/>
    </row>
    <row r="168" spans="1:11" ht="14.5" x14ac:dyDescent="0.35">
      <c r="A168" s="186" t="s">
        <v>568</v>
      </c>
      <c r="B168" s="187">
        <v>46235</v>
      </c>
      <c r="C168" s="186" t="s">
        <v>433</v>
      </c>
      <c r="D168" s="186" t="s">
        <v>569</v>
      </c>
      <c r="E168" s="186" t="s">
        <v>431</v>
      </c>
      <c r="F168" s="186" t="s">
        <v>570</v>
      </c>
      <c r="G168" s="191">
        <v>9998</v>
      </c>
      <c r="H168" s="202">
        <v>1249.75</v>
      </c>
      <c r="I168" s="202"/>
      <c r="J168" s="245"/>
      <c r="K168" s="246"/>
    </row>
    <row r="169" spans="1:11" ht="28" x14ac:dyDescent="0.35">
      <c r="A169" s="186" t="s">
        <v>571</v>
      </c>
      <c r="B169" s="187">
        <v>45876</v>
      </c>
      <c r="C169" s="186" t="s">
        <v>220</v>
      </c>
      <c r="D169" s="186" t="s">
        <v>572</v>
      </c>
      <c r="E169" s="186" t="s">
        <v>431</v>
      </c>
      <c r="F169" s="186" t="s">
        <v>573</v>
      </c>
      <c r="G169" s="191">
        <v>21250</v>
      </c>
      <c r="H169" s="202"/>
      <c r="I169" s="202"/>
      <c r="J169" s="327"/>
      <c r="K169" s="328"/>
    </row>
    <row r="170" spans="1:11" ht="14.5" x14ac:dyDescent="0.35">
      <c r="A170" s="186" t="s">
        <v>574</v>
      </c>
      <c r="B170" s="187">
        <v>45880</v>
      </c>
      <c r="C170" s="186" t="s">
        <v>288</v>
      </c>
      <c r="D170" s="186" t="s">
        <v>280</v>
      </c>
      <c r="E170" s="186" t="s">
        <v>431</v>
      </c>
      <c r="F170" s="186" t="s">
        <v>274</v>
      </c>
      <c r="G170" s="191">
        <v>1160</v>
      </c>
      <c r="H170" s="202">
        <f t="shared" ref="H170:H173" si="10">G170*12.5%</f>
        <v>145</v>
      </c>
      <c r="I170" s="333"/>
      <c r="J170" s="329"/>
      <c r="K170" s="330"/>
    </row>
    <row r="171" spans="1:11" ht="14.5" x14ac:dyDescent="0.35">
      <c r="A171" s="186" t="s">
        <v>574</v>
      </c>
      <c r="B171" s="187">
        <v>45880</v>
      </c>
      <c r="C171" s="186" t="s">
        <v>289</v>
      </c>
      <c r="D171" s="186" t="s">
        <v>290</v>
      </c>
      <c r="E171" s="186" t="s">
        <v>431</v>
      </c>
      <c r="F171" s="186" t="s">
        <v>274</v>
      </c>
      <c r="G171" s="191">
        <v>1028</v>
      </c>
      <c r="H171" s="202">
        <f t="shared" si="10"/>
        <v>128.5</v>
      </c>
      <c r="I171" s="334"/>
      <c r="J171" s="329"/>
      <c r="K171" s="330"/>
    </row>
    <row r="172" spans="1:11" ht="14.5" x14ac:dyDescent="0.35">
      <c r="A172" s="186" t="s">
        <v>574</v>
      </c>
      <c r="B172" s="187">
        <v>45880</v>
      </c>
      <c r="C172" s="186" t="s">
        <v>575</v>
      </c>
      <c r="D172" s="186" t="s">
        <v>237</v>
      </c>
      <c r="E172" s="186" t="s">
        <v>431</v>
      </c>
      <c r="F172" s="186" t="s">
        <v>274</v>
      </c>
      <c r="G172" s="191">
        <v>2055</v>
      </c>
      <c r="H172" s="202">
        <f t="shared" si="10"/>
        <v>256.875</v>
      </c>
      <c r="I172" s="334"/>
      <c r="J172" s="329"/>
      <c r="K172" s="330"/>
    </row>
    <row r="173" spans="1:11" ht="14.5" x14ac:dyDescent="0.35">
      <c r="A173" s="186" t="s">
        <v>574</v>
      </c>
      <c r="B173" s="187">
        <v>45880</v>
      </c>
      <c r="C173" s="186" t="s">
        <v>194</v>
      </c>
      <c r="D173" s="186" t="s">
        <v>576</v>
      </c>
      <c r="E173" s="186" t="s">
        <v>431</v>
      </c>
      <c r="F173" s="186" t="s">
        <v>291</v>
      </c>
      <c r="G173" s="191">
        <v>16600</v>
      </c>
      <c r="H173" s="202">
        <f t="shared" si="10"/>
        <v>2075</v>
      </c>
      <c r="I173" s="334"/>
      <c r="J173" s="329"/>
      <c r="K173" s="330"/>
    </row>
    <row r="174" spans="1:11" ht="14.5" x14ac:dyDescent="0.35">
      <c r="A174" s="186" t="s">
        <v>574</v>
      </c>
      <c r="B174" s="187">
        <v>45877</v>
      </c>
      <c r="C174" s="186" t="s">
        <v>205</v>
      </c>
      <c r="D174" s="186" t="s">
        <v>577</v>
      </c>
      <c r="E174" s="186" t="s">
        <v>431</v>
      </c>
      <c r="F174" s="186" t="s">
        <v>274</v>
      </c>
      <c r="G174" s="191">
        <v>4181</v>
      </c>
      <c r="H174" s="202">
        <f>G174*12.5%</f>
        <v>522.625</v>
      </c>
      <c r="I174" s="334"/>
      <c r="J174" s="329"/>
      <c r="K174" s="330"/>
    </row>
    <row r="175" spans="1:11" ht="14.5" x14ac:dyDescent="0.35">
      <c r="A175" s="186" t="s">
        <v>574</v>
      </c>
      <c r="B175" s="187">
        <v>45877</v>
      </c>
      <c r="C175" s="186" t="s">
        <v>578</v>
      </c>
      <c r="D175" s="186" t="s">
        <v>222</v>
      </c>
      <c r="E175" s="186" t="s">
        <v>431</v>
      </c>
      <c r="F175" s="186" t="s">
        <v>274</v>
      </c>
      <c r="G175" s="191">
        <v>4758</v>
      </c>
      <c r="H175" s="202">
        <f>G175*12.5%</f>
        <v>594.75</v>
      </c>
      <c r="I175" s="335"/>
      <c r="J175" s="329"/>
      <c r="K175" s="330"/>
    </row>
    <row r="176" spans="1:11" ht="14.5" x14ac:dyDescent="0.35">
      <c r="A176" s="186" t="s">
        <v>579</v>
      </c>
      <c r="B176" s="187">
        <v>45149</v>
      </c>
      <c r="C176" s="186" t="s">
        <v>433</v>
      </c>
      <c r="D176" s="186" t="s">
        <v>195</v>
      </c>
      <c r="E176" s="186" t="s">
        <v>204</v>
      </c>
      <c r="F176" s="192" t="s">
        <v>196</v>
      </c>
      <c r="G176" s="191">
        <v>4000</v>
      </c>
      <c r="H176" s="202"/>
      <c r="I176" s="202"/>
      <c r="J176" s="329"/>
      <c r="K176" s="330"/>
    </row>
    <row r="177" spans="1:11" ht="28" x14ac:dyDescent="0.35">
      <c r="A177" s="186" t="s">
        <v>580</v>
      </c>
      <c r="B177" s="187">
        <v>45154</v>
      </c>
      <c r="C177" s="186" t="s">
        <v>433</v>
      </c>
      <c r="D177" s="186" t="s">
        <v>195</v>
      </c>
      <c r="E177" s="186" t="s">
        <v>204</v>
      </c>
      <c r="F177" s="186" t="s">
        <v>196</v>
      </c>
      <c r="G177" s="191">
        <v>4725</v>
      </c>
      <c r="H177" s="202"/>
      <c r="I177" s="333"/>
      <c r="J177" s="329"/>
      <c r="K177" s="330"/>
    </row>
    <row r="178" spans="1:11" ht="28" x14ac:dyDescent="0.35">
      <c r="A178" s="186" t="s">
        <v>580</v>
      </c>
      <c r="B178" s="187">
        <v>45154</v>
      </c>
      <c r="C178" s="186" t="s">
        <v>207</v>
      </c>
      <c r="D178" s="186" t="s">
        <v>208</v>
      </c>
      <c r="E178" s="186" t="s">
        <v>204</v>
      </c>
      <c r="F178" s="186" t="s">
        <v>196</v>
      </c>
      <c r="G178" s="191">
        <v>1182</v>
      </c>
      <c r="H178" s="202">
        <f>G178*12.5%</f>
        <v>147.75</v>
      </c>
      <c r="I178" s="335"/>
      <c r="J178" s="329"/>
      <c r="K178" s="330"/>
    </row>
    <row r="179" spans="1:11" ht="14.5" x14ac:dyDescent="0.35">
      <c r="A179" s="186" t="s">
        <v>581</v>
      </c>
      <c r="B179" s="187">
        <v>45155</v>
      </c>
      <c r="C179" s="186" t="s">
        <v>433</v>
      </c>
      <c r="D179" s="186" t="s">
        <v>195</v>
      </c>
      <c r="E179" s="186" t="s">
        <v>204</v>
      </c>
      <c r="F179" s="186" t="s">
        <v>243</v>
      </c>
      <c r="G179" s="191">
        <v>4275</v>
      </c>
      <c r="H179" s="202"/>
      <c r="I179" s="333"/>
      <c r="J179" s="329"/>
      <c r="K179" s="330"/>
    </row>
    <row r="180" spans="1:11" ht="14.5" x14ac:dyDescent="0.35">
      <c r="A180" s="186" t="s">
        <v>581</v>
      </c>
      <c r="B180" s="187">
        <v>45155</v>
      </c>
      <c r="C180" s="186" t="s">
        <v>582</v>
      </c>
      <c r="D180" s="186" t="s">
        <v>583</v>
      </c>
      <c r="E180" s="186" t="s">
        <v>204</v>
      </c>
      <c r="F180" s="186" t="s">
        <v>584</v>
      </c>
      <c r="G180" s="191">
        <v>4230</v>
      </c>
      <c r="H180" s="202">
        <f>G180*12.5%</f>
        <v>528.75</v>
      </c>
      <c r="I180" s="334"/>
      <c r="J180" s="329"/>
      <c r="K180" s="330"/>
    </row>
    <row r="181" spans="1:11" ht="14.5" x14ac:dyDescent="0.35">
      <c r="A181" s="186" t="s">
        <v>581</v>
      </c>
      <c r="B181" s="187">
        <v>45155</v>
      </c>
      <c r="C181" s="186" t="s">
        <v>205</v>
      </c>
      <c r="D181" s="186" t="s">
        <v>292</v>
      </c>
      <c r="E181" s="186" t="s">
        <v>204</v>
      </c>
      <c r="F181" s="186" t="s">
        <v>196</v>
      </c>
      <c r="G181" s="191">
        <v>2671</v>
      </c>
      <c r="H181" s="202">
        <f>G181*12.5%</f>
        <v>333.875</v>
      </c>
      <c r="I181" s="334"/>
      <c r="J181" s="329"/>
      <c r="K181" s="330"/>
    </row>
    <row r="182" spans="1:11" ht="14.5" x14ac:dyDescent="0.35">
      <c r="A182" s="186" t="s">
        <v>581</v>
      </c>
      <c r="B182" s="187">
        <v>45155</v>
      </c>
      <c r="C182" s="186" t="s">
        <v>207</v>
      </c>
      <c r="D182" s="186" t="s">
        <v>208</v>
      </c>
      <c r="E182" s="186" t="s">
        <v>204</v>
      </c>
      <c r="F182" s="186" t="s">
        <v>196</v>
      </c>
      <c r="G182" s="191">
        <v>900</v>
      </c>
      <c r="H182" s="202">
        <f>G182*12.5%</f>
        <v>112.5</v>
      </c>
      <c r="I182" s="334"/>
      <c r="J182" s="329"/>
      <c r="K182" s="330"/>
    </row>
    <row r="183" spans="1:11" ht="14.5" x14ac:dyDescent="0.35">
      <c r="A183" s="186" t="s">
        <v>581</v>
      </c>
      <c r="B183" s="187">
        <v>46251</v>
      </c>
      <c r="C183" s="186" t="s">
        <v>585</v>
      </c>
      <c r="D183" s="186" t="s">
        <v>292</v>
      </c>
      <c r="E183" s="186" t="s">
        <v>204</v>
      </c>
      <c r="F183" s="186" t="s">
        <v>480</v>
      </c>
      <c r="G183" s="191">
        <v>50</v>
      </c>
      <c r="H183" s="202">
        <f>G183*12.5%</f>
        <v>6.25</v>
      </c>
      <c r="I183" s="335"/>
      <c r="J183" s="329"/>
      <c r="K183" s="330"/>
    </row>
    <row r="184" spans="1:11" ht="28" x14ac:dyDescent="0.35">
      <c r="A184" s="186" t="s">
        <v>586</v>
      </c>
      <c r="B184" s="187">
        <v>45888</v>
      </c>
      <c r="C184" s="186" t="s">
        <v>433</v>
      </c>
      <c r="D184" s="186" t="s">
        <v>474</v>
      </c>
      <c r="E184" s="186" t="s">
        <v>431</v>
      </c>
      <c r="F184" s="186" t="s">
        <v>201</v>
      </c>
      <c r="G184" s="191">
        <v>33415</v>
      </c>
      <c r="H184" s="202"/>
      <c r="I184" s="333"/>
      <c r="J184" s="329"/>
      <c r="K184" s="330"/>
    </row>
    <row r="185" spans="1:11" ht="28" x14ac:dyDescent="0.35">
      <c r="A185" s="186" t="s">
        <v>586</v>
      </c>
      <c r="B185" s="187">
        <v>45888</v>
      </c>
      <c r="C185" s="186" t="s">
        <v>511</v>
      </c>
      <c r="D185" s="186" t="s">
        <v>587</v>
      </c>
      <c r="E185" s="186" t="s">
        <v>431</v>
      </c>
      <c r="F185" s="186" t="s">
        <v>295</v>
      </c>
      <c r="G185" s="191">
        <v>23400</v>
      </c>
      <c r="H185" s="202">
        <f>G185*12.5%</f>
        <v>2925</v>
      </c>
      <c r="I185" s="335"/>
      <c r="J185" s="329"/>
      <c r="K185" s="330"/>
    </row>
    <row r="186" spans="1:11" ht="14.5" x14ac:dyDescent="0.35">
      <c r="A186" s="186" t="s">
        <v>588</v>
      </c>
      <c r="B186" s="187">
        <v>44794</v>
      </c>
      <c r="C186" s="186" t="s">
        <v>194</v>
      </c>
      <c r="D186" s="186" t="s">
        <v>275</v>
      </c>
      <c r="E186" s="186" t="s">
        <v>204</v>
      </c>
      <c r="F186" s="186" t="s">
        <v>246</v>
      </c>
      <c r="G186" s="191">
        <v>6240</v>
      </c>
      <c r="H186" s="202">
        <f>G186*12%</f>
        <v>748.8</v>
      </c>
      <c r="I186" s="333"/>
      <c r="J186" s="329"/>
      <c r="K186" s="330"/>
    </row>
    <row r="187" spans="1:11" ht="14.5" x14ac:dyDescent="0.35">
      <c r="A187" s="186" t="s">
        <v>588</v>
      </c>
      <c r="B187" s="187">
        <v>44794</v>
      </c>
      <c r="C187" s="186" t="s">
        <v>267</v>
      </c>
      <c r="D187" s="186" t="s">
        <v>296</v>
      </c>
      <c r="E187" s="186" t="s">
        <v>204</v>
      </c>
      <c r="F187" s="186" t="s">
        <v>209</v>
      </c>
      <c r="G187" s="191">
        <v>4852</v>
      </c>
      <c r="H187" s="202">
        <f>G187*12%</f>
        <v>582.24</v>
      </c>
      <c r="I187" s="335"/>
      <c r="J187" s="331"/>
      <c r="K187" s="332"/>
    </row>
    <row r="188" spans="1:11" ht="28" x14ac:dyDescent="0.35">
      <c r="A188" s="247" t="s">
        <v>589</v>
      </c>
      <c r="B188" s="248">
        <v>45535</v>
      </c>
      <c r="C188" s="247" t="s">
        <v>198</v>
      </c>
      <c r="D188" s="247" t="s">
        <v>297</v>
      </c>
      <c r="E188" s="247" t="s">
        <v>335</v>
      </c>
      <c r="F188" s="247" t="s">
        <v>209</v>
      </c>
      <c r="G188" s="249">
        <v>8390.2999999999993</v>
      </c>
      <c r="H188" s="250">
        <f>G188*12%</f>
        <v>1006.8359999999999</v>
      </c>
      <c r="I188" s="250"/>
      <c r="J188" s="251"/>
      <c r="K188" s="251"/>
    </row>
    <row r="189" spans="1:11" ht="14.5" x14ac:dyDescent="0.35">
      <c r="A189" s="247" t="s">
        <v>590</v>
      </c>
      <c r="B189" s="248">
        <v>45535</v>
      </c>
      <c r="C189" s="247" t="s">
        <v>298</v>
      </c>
      <c r="D189" s="247" t="s">
        <v>299</v>
      </c>
      <c r="E189" s="247" t="s">
        <v>335</v>
      </c>
      <c r="F189" s="247" t="s">
        <v>209</v>
      </c>
      <c r="G189" s="249">
        <v>2536</v>
      </c>
      <c r="H189" s="250">
        <f>G189*12%</f>
        <v>304.32</v>
      </c>
      <c r="I189" s="250"/>
      <c r="J189" s="251"/>
      <c r="K189" s="251"/>
    </row>
    <row r="190" spans="1:11" ht="28" x14ac:dyDescent="0.35">
      <c r="A190" s="247" t="s">
        <v>591</v>
      </c>
      <c r="B190" s="248">
        <v>45535</v>
      </c>
      <c r="C190" s="247" t="s">
        <v>205</v>
      </c>
      <c r="D190" s="247" t="s">
        <v>203</v>
      </c>
      <c r="E190" s="247" t="s">
        <v>335</v>
      </c>
      <c r="F190" s="247" t="s">
        <v>196</v>
      </c>
      <c r="G190" s="249">
        <v>1328</v>
      </c>
      <c r="H190" s="250">
        <f>G190*12%</f>
        <v>159.35999999999999</v>
      </c>
      <c r="I190" s="250"/>
      <c r="J190" s="251"/>
      <c r="K190" s="251"/>
    </row>
    <row r="191" spans="1:11" ht="28" x14ac:dyDescent="0.35">
      <c r="A191" s="247" t="s">
        <v>591</v>
      </c>
      <c r="B191" s="248">
        <v>45535</v>
      </c>
      <c r="C191" s="247" t="s">
        <v>288</v>
      </c>
      <c r="D191" s="247" t="s">
        <v>208</v>
      </c>
      <c r="E191" s="247" t="s">
        <v>204</v>
      </c>
      <c r="F191" s="247" t="s">
        <v>196</v>
      </c>
      <c r="G191" s="249">
        <v>386</v>
      </c>
      <c r="H191" s="250">
        <f>G191*12.5%</f>
        <v>48.25</v>
      </c>
      <c r="I191" s="250"/>
      <c r="J191" s="251"/>
      <c r="K191" s="251"/>
    </row>
    <row r="192" spans="1:11" ht="28" x14ac:dyDescent="0.35">
      <c r="A192" s="247" t="s">
        <v>591</v>
      </c>
      <c r="B192" s="248">
        <v>45535</v>
      </c>
      <c r="C192" s="247" t="s">
        <v>217</v>
      </c>
      <c r="D192" s="247" t="s">
        <v>200</v>
      </c>
      <c r="E192" s="247" t="s">
        <v>204</v>
      </c>
      <c r="F192" s="247" t="s">
        <v>196</v>
      </c>
      <c r="G192" s="249">
        <v>492</v>
      </c>
      <c r="H192" s="250">
        <f>G192*12.5%</f>
        <v>61.5</v>
      </c>
      <c r="I192" s="250"/>
      <c r="J192" s="251"/>
      <c r="K192" s="251"/>
    </row>
    <row r="193" spans="1:11" ht="14.5" x14ac:dyDescent="0.35">
      <c r="A193" s="233"/>
      <c r="B193" s="197"/>
      <c r="C193" s="233"/>
      <c r="D193" s="233"/>
      <c r="E193" s="233"/>
      <c r="F193" s="233"/>
      <c r="G193" s="244"/>
      <c r="H193" s="234"/>
      <c r="I193" s="234">
        <f>SUM(H168:H193)</f>
        <v>11937.930999999999</v>
      </c>
      <c r="J193" s="235">
        <v>20867.63</v>
      </c>
      <c r="K193" s="235"/>
    </row>
    <row r="194" spans="1:11" ht="14.5" x14ac:dyDescent="0.35">
      <c r="A194" s="186" t="s">
        <v>592</v>
      </c>
      <c r="B194" s="187">
        <v>45170</v>
      </c>
      <c r="C194" s="186" t="s">
        <v>433</v>
      </c>
      <c r="D194" s="186" t="s">
        <v>195</v>
      </c>
      <c r="E194" s="186" t="s">
        <v>204</v>
      </c>
      <c r="F194" s="186" t="s">
        <v>201</v>
      </c>
      <c r="G194" s="191">
        <v>18270</v>
      </c>
      <c r="H194" s="202"/>
      <c r="I194" s="202"/>
      <c r="J194" s="327" t="s">
        <v>593</v>
      </c>
      <c r="K194" s="328"/>
    </row>
    <row r="195" spans="1:11" ht="14.5" x14ac:dyDescent="0.35">
      <c r="A195" s="186" t="s">
        <v>594</v>
      </c>
      <c r="B195" s="187">
        <v>45901</v>
      </c>
      <c r="C195" s="186" t="s">
        <v>595</v>
      </c>
      <c r="D195" s="186" t="s">
        <v>560</v>
      </c>
      <c r="E195" s="186" t="s">
        <v>204</v>
      </c>
      <c r="F195" s="186" t="s">
        <v>228</v>
      </c>
      <c r="G195" s="191">
        <v>31000</v>
      </c>
      <c r="H195" s="202">
        <f>G195*12.5%</f>
        <v>3875</v>
      </c>
      <c r="I195" s="202"/>
      <c r="J195" s="329"/>
      <c r="K195" s="330"/>
    </row>
    <row r="196" spans="1:11" ht="14.5" x14ac:dyDescent="0.35">
      <c r="A196" s="186" t="s">
        <v>594</v>
      </c>
      <c r="B196" s="187">
        <v>45901</v>
      </c>
      <c r="C196" s="186" t="s">
        <v>207</v>
      </c>
      <c r="D196" s="186" t="s">
        <v>596</v>
      </c>
      <c r="E196" s="186" t="s">
        <v>204</v>
      </c>
      <c r="F196" s="186" t="s">
        <v>480</v>
      </c>
      <c r="G196" s="191">
        <v>700</v>
      </c>
      <c r="H196" s="202">
        <f>G196*12.5%</f>
        <v>87.5</v>
      </c>
      <c r="I196" s="202"/>
      <c r="J196" s="329"/>
      <c r="K196" s="330"/>
    </row>
    <row r="197" spans="1:11" ht="28" x14ac:dyDescent="0.35">
      <c r="A197" s="186" t="s">
        <v>594</v>
      </c>
      <c r="B197" s="187">
        <v>45901</v>
      </c>
      <c r="C197" s="186" t="s">
        <v>302</v>
      </c>
      <c r="D197" s="186" t="s">
        <v>303</v>
      </c>
      <c r="E197" s="186" t="s">
        <v>204</v>
      </c>
      <c r="F197" s="186" t="s">
        <v>307</v>
      </c>
      <c r="G197" s="191">
        <v>2500</v>
      </c>
      <c r="H197" s="202">
        <f>G197*12.5%</f>
        <v>312.5</v>
      </c>
      <c r="I197" s="202"/>
      <c r="J197" s="329"/>
      <c r="K197" s="330"/>
    </row>
    <row r="198" spans="1:11" ht="28" x14ac:dyDescent="0.35">
      <c r="A198" s="186" t="s">
        <v>594</v>
      </c>
      <c r="B198" s="187">
        <v>45901</v>
      </c>
      <c r="C198" s="186" t="s">
        <v>304</v>
      </c>
      <c r="D198" s="186" t="s">
        <v>597</v>
      </c>
      <c r="E198" s="186" t="s">
        <v>204</v>
      </c>
      <c r="F198" s="186" t="s">
        <v>598</v>
      </c>
      <c r="G198" s="191">
        <v>2000</v>
      </c>
      <c r="H198" s="202">
        <f>G198*12.5%</f>
        <v>250</v>
      </c>
      <c r="I198" s="202"/>
      <c r="J198" s="329"/>
      <c r="K198" s="330"/>
    </row>
    <row r="199" spans="1:11" ht="14.5" x14ac:dyDescent="0.35">
      <c r="A199" s="186" t="s">
        <v>599</v>
      </c>
      <c r="B199" s="187">
        <v>45901</v>
      </c>
      <c r="C199" s="186" t="s">
        <v>433</v>
      </c>
      <c r="D199" s="186" t="s">
        <v>474</v>
      </c>
      <c r="E199" s="186" t="s">
        <v>431</v>
      </c>
      <c r="F199" s="186" t="s">
        <v>196</v>
      </c>
      <c r="G199" s="191">
        <v>13781</v>
      </c>
      <c r="H199" s="202"/>
      <c r="I199" s="202"/>
      <c r="J199" s="329"/>
      <c r="K199" s="330"/>
    </row>
    <row r="200" spans="1:11" ht="42" x14ac:dyDescent="0.35">
      <c r="A200" s="186" t="s">
        <v>600</v>
      </c>
      <c r="B200" s="187">
        <v>45904</v>
      </c>
      <c r="C200" s="186" t="s">
        <v>433</v>
      </c>
      <c r="D200" s="186" t="s">
        <v>569</v>
      </c>
      <c r="E200" s="186" t="s">
        <v>431</v>
      </c>
      <c r="F200" s="186" t="s">
        <v>570</v>
      </c>
      <c r="G200" s="191">
        <v>5000</v>
      </c>
      <c r="H200" s="202">
        <f>G200*12.5%</f>
        <v>625</v>
      </c>
      <c r="I200" s="202"/>
      <c r="J200" s="329"/>
      <c r="K200" s="330"/>
    </row>
    <row r="201" spans="1:11" ht="14.5" x14ac:dyDescent="0.35">
      <c r="A201" s="186" t="s">
        <v>601</v>
      </c>
      <c r="B201" s="187">
        <v>46270</v>
      </c>
      <c r="C201" s="186" t="s">
        <v>273</v>
      </c>
      <c r="D201" s="186" t="s">
        <v>602</v>
      </c>
      <c r="E201" s="186" t="s">
        <v>204</v>
      </c>
      <c r="F201" s="186" t="s">
        <v>201</v>
      </c>
      <c r="G201" s="191"/>
      <c r="H201" s="202"/>
      <c r="I201" s="333"/>
      <c r="J201" s="329"/>
      <c r="K201" s="330"/>
    </row>
    <row r="202" spans="1:11" ht="14.5" x14ac:dyDescent="0.35">
      <c r="A202" s="186" t="s">
        <v>601</v>
      </c>
      <c r="B202" s="187">
        <v>46270</v>
      </c>
      <c r="C202" s="186" t="s">
        <v>603</v>
      </c>
      <c r="D202" s="186" t="s">
        <v>279</v>
      </c>
      <c r="E202" s="186" t="s">
        <v>204</v>
      </c>
      <c r="F202" s="186" t="s">
        <v>209</v>
      </c>
      <c r="G202" s="191"/>
      <c r="H202" s="202"/>
      <c r="I202" s="334"/>
      <c r="J202" s="329"/>
      <c r="K202" s="330"/>
    </row>
    <row r="203" spans="1:11" ht="14.5" x14ac:dyDescent="0.35">
      <c r="A203" s="186" t="s">
        <v>601</v>
      </c>
      <c r="B203" s="187">
        <v>46270</v>
      </c>
      <c r="C203" s="186" t="s">
        <v>207</v>
      </c>
      <c r="D203" s="186" t="s">
        <v>254</v>
      </c>
      <c r="E203" s="186" t="s">
        <v>204</v>
      </c>
      <c r="F203" s="186" t="s">
        <v>570</v>
      </c>
      <c r="G203" s="191">
        <v>7270</v>
      </c>
      <c r="H203" s="202">
        <f>G203*12.5%</f>
        <v>908.75</v>
      </c>
      <c r="I203" s="334"/>
      <c r="J203" s="329"/>
      <c r="K203" s="330"/>
    </row>
    <row r="204" spans="1:11" ht="14.5" x14ac:dyDescent="0.35">
      <c r="A204" s="186" t="s">
        <v>601</v>
      </c>
      <c r="B204" s="187">
        <v>46270</v>
      </c>
      <c r="C204" s="186" t="s">
        <v>220</v>
      </c>
      <c r="D204" s="186" t="s">
        <v>339</v>
      </c>
      <c r="E204" s="186" t="s">
        <v>204</v>
      </c>
      <c r="F204" s="186" t="s">
        <v>201</v>
      </c>
      <c r="G204" s="191">
        <v>96333</v>
      </c>
      <c r="H204" s="202">
        <f>G204*12.5%</f>
        <v>12041.625</v>
      </c>
      <c r="I204" s="334"/>
      <c r="J204" s="329"/>
      <c r="K204" s="330"/>
    </row>
    <row r="205" spans="1:11" ht="14.5" x14ac:dyDescent="0.35">
      <c r="A205" s="186" t="s">
        <v>601</v>
      </c>
      <c r="B205" s="187">
        <v>46270</v>
      </c>
      <c r="C205" s="186" t="s">
        <v>263</v>
      </c>
      <c r="D205" s="186" t="s">
        <v>270</v>
      </c>
      <c r="E205" s="186" t="s">
        <v>427</v>
      </c>
      <c r="F205" s="186" t="s">
        <v>243</v>
      </c>
      <c r="G205" s="188">
        <v>4921</v>
      </c>
      <c r="H205" s="189">
        <f>G205*10%</f>
        <v>492.1</v>
      </c>
      <c r="I205" s="335"/>
      <c r="J205" s="329"/>
      <c r="K205" s="330"/>
    </row>
    <row r="206" spans="1:11" ht="14.5" x14ac:dyDescent="0.35">
      <c r="A206" s="186" t="s">
        <v>604</v>
      </c>
      <c r="B206" s="187">
        <v>45177</v>
      </c>
      <c r="C206" s="186" t="s">
        <v>433</v>
      </c>
      <c r="D206" s="186" t="s">
        <v>195</v>
      </c>
      <c r="E206" s="186" t="s">
        <v>335</v>
      </c>
      <c r="F206" s="186" t="s">
        <v>196</v>
      </c>
      <c r="G206" s="191">
        <v>65520</v>
      </c>
      <c r="H206" s="202"/>
      <c r="I206" s="202"/>
      <c r="J206" s="329"/>
      <c r="K206" s="330"/>
    </row>
    <row r="207" spans="1:11" ht="14.5" x14ac:dyDescent="0.35">
      <c r="A207" s="186" t="s">
        <v>605</v>
      </c>
      <c r="B207" s="187">
        <v>45179</v>
      </c>
      <c r="C207" s="186" t="s">
        <v>212</v>
      </c>
      <c r="D207" s="186" t="s">
        <v>606</v>
      </c>
      <c r="E207" s="186" t="s">
        <v>204</v>
      </c>
      <c r="F207" s="186" t="s">
        <v>201</v>
      </c>
      <c r="G207" s="191">
        <v>4706</v>
      </c>
      <c r="H207" s="202">
        <f>G207*10%</f>
        <v>470.6</v>
      </c>
      <c r="I207" s="202"/>
      <c r="J207" s="329"/>
      <c r="K207" s="330"/>
    </row>
    <row r="208" spans="1:11" ht="28" x14ac:dyDescent="0.35">
      <c r="A208" s="186" t="s">
        <v>607</v>
      </c>
      <c r="B208" s="187">
        <v>45546</v>
      </c>
      <c r="C208" s="186" t="s">
        <v>433</v>
      </c>
      <c r="D208" s="186" t="s">
        <v>275</v>
      </c>
      <c r="E208" s="186" t="s">
        <v>204</v>
      </c>
      <c r="F208" s="186" t="s">
        <v>246</v>
      </c>
      <c r="G208" s="191">
        <v>6250</v>
      </c>
      <c r="H208" s="202">
        <f>G208*12.5%</f>
        <v>781.25</v>
      </c>
      <c r="I208" s="202"/>
      <c r="J208" s="329"/>
      <c r="K208" s="330"/>
    </row>
    <row r="209" spans="1:11" ht="28" x14ac:dyDescent="0.35">
      <c r="A209" s="186" t="s">
        <v>608</v>
      </c>
      <c r="B209" s="187">
        <v>45911</v>
      </c>
      <c r="C209" s="186" t="s">
        <v>609</v>
      </c>
      <c r="D209" s="186" t="s">
        <v>610</v>
      </c>
      <c r="E209" s="186" t="s">
        <v>204</v>
      </c>
      <c r="F209" s="186" t="s">
        <v>196</v>
      </c>
      <c r="G209" s="191">
        <v>595</v>
      </c>
      <c r="H209" s="202">
        <v>74.38</v>
      </c>
      <c r="I209" s="202"/>
      <c r="J209" s="329"/>
      <c r="K209" s="330"/>
    </row>
    <row r="210" spans="1:11" ht="14.5" x14ac:dyDescent="0.35">
      <c r="A210" s="186" t="s">
        <v>611</v>
      </c>
      <c r="B210" s="187">
        <v>44818</v>
      </c>
      <c r="C210" s="186" t="s">
        <v>433</v>
      </c>
      <c r="D210" s="186" t="s">
        <v>195</v>
      </c>
      <c r="E210" s="186" t="s">
        <v>204</v>
      </c>
      <c r="F210" s="186" t="s">
        <v>196</v>
      </c>
      <c r="G210" s="191">
        <v>2500</v>
      </c>
      <c r="H210" s="202"/>
      <c r="I210" s="202"/>
      <c r="J210" s="329"/>
      <c r="K210" s="330"/>
    </row>
    <row r="211" spans="1:11" ht="28" x14ac:dyDescent="0.35">
      <c r="A211" s="186" t="s">
        <v>612</v>
      </c>
      <c r="B211" s="187">
        <v>45186</v>
      </c>
      <c r="C211" s="186" t="s">
        <v>258</v>
      </c>
      <c r="D211" s="186" t="s">
        <v>252</v>
      </c>
      <c r="E211" s="186" t="s">
        <v>204</v>
      </c>
      <c r="F211" s="186" t="s">
        <v>209</v>
      </c>
      <c r="G211" s="191">
        <v>28544</v>
      </c>
      <c r="H211" s="202">
        <f>G211*12.5%</f>
        <v>3568</v>
      </c>
      <c r="I211" s="333"/>
      <c r="J211" s="329"/>
      <c r="K211" s="330"/>
    </row>
    <row r="212" spans="1:11" ht="28" x14ac:dyDescent="0.35">
      <c r="A212" s="186" t="s">
        <v>612</v>
      </c>
      <c r="B212" s="187">
        <v>45186</v>
      </c>
      <c r="C212" s="186" t="s">
        <v>205</v>
      </c>
      <c r="D212" s="186" t="s">
        <v>252</v>
      </c>
      <c r="E212" s="186" t="s">
        <v>204</v>
      </c>
      <c r="F212" s="186" t="s">
        <v>196</v>
      </c>
      <c r="G212" s="191">
        <v>6925</v>
      </c>
      <c r="H212" s="202">
        <f>G212*0.125</f>
        <v>865.625</v>
      </c>
      <c r="I212" s="335"/>
      <c r="J212" s="329"/>
      <c r="K212" s="330"/>
    </row>
    <row r="213" spans="1:11" ht="14.5" x14ac:dyDescent="0.35">
      <c r="A213" s="186" t="s">
        <v>613</v>
      </c>
      <c r="B213" s="187">
        <v>44823</v>
      </c>
      <c r="C213" s="186" t="s">
        <v>433</v>
      </c>
      <c r="D213" s="186" t="s">
        <v>275</v>
      </c>
      <c r="E213" s="186" t="s">
        <v>204</v>
      </c>
      <c r="F213" s="186" t="s">
        <v>243</v>
      </c>
      <c r="G213" s="191">
        <v>18221</v>
      </c>
      <c r="H213" s="202">
        <f>G213*10%</f>
        <v>1822.1000000000001</v>
      </c>
      <c r="I213" s="333"/>
      <c r="J213" s="329"/>
      <c r="K213" s="330"/>
    </row>
    <row r="214" spans="1:11" ht="14.5" x14ac:dyDescent="0.35">
      <c r="A214" s="186" t="s">
        <v>613</v>
      </c>
      <c r="B214" s="187">
        <v>44823</v>
      </c>
      <c r="C214" s="186" t="s">
        <v>267</v>
      </c>
      <c r="D214" s="186" t="s">
        <v>211</v>
      </c>
      <c r="E214" s="186" t="s">
        <v>204</v>
      </c>
      <c r="F214" s="192" t="s">
        <v>196</v>
      </c>
      <c r="G214" s="191">
        <v>7647</v>
      </c>
      <c r="H214" s="202">
        <f>G214*10%</f>
        <v>764.7</v>
      </c>
      <c r="I214" s="334"/>
      <c r="J214" s="329"/>
      <c r="K214" s="330"/>
    </row>
    <row r="215" spans="1:11" ht="14.5" x14ac:dyDescent="0.35">
      <c r="A215" s="186" t="s">
        <v>613</v>
      </c>
      <c r="B215" s="187">
        <v>44823</v>
      </c>
      <c r="C215" s="186" t="s">
        <v>614</v>
      </c>
      <c r="D215" s="186" t="s">
        <v>203</v>
      </c>
      <c r="E215" s="186" t="s">
        <v>431</v>
      </c>
      <c r="F215" s="186" t="s">
        <v>243</v>
      </c>
      <c r="G215" s="191">
        <v>404</v>
      </c>
      <c r="H215" s="202">
        <f>G215*6.5%</f>
        <v>26.26</v>
      </c>
      <c r="I215" s="334"/>
      <c r="J215" s="329"/>
      <c r="K215" s="330"/>
    </row>
    <row r="216" spans="1:11" ht="14.5" x14ac:dyDescent="0.35">
      <c r="A216" s="186" t="s">
        <v>613</v>
      </c>
      <c r="B216" s="187">
        <v>44823</v>
      </c>
      <c r="C216" s="186" t="s">
        <v>615</v>
      </c>
      <c r="D216" s="186" t="s">
        <v>576</v>
      </c>
      <c r="E216" s="186" t="s">
        <v>204</v>
      </c>
      <c r="F216" s="186" t="s">
        <v>196</v>
      </c>
      <c r="G216" s="191">
        <v>4134</v>
      </c>
      <c r="H216" s="202">
        <f>G216*12.5%</f>
        <v>516.75</v>
      </c>
      <c r="I216" s="334"/>
      <c r="J216" s="329"/>
      <c r="K216" s="330"/>
    </row>
    <row r="217" spans="1:11" ht="14.5" x14ac:dyDescent="0.35">
      <c r="A217" s="186" t="s">
        <v>613</v>
      </c>
      <c r="B217" s="187">
        <v>44823</v>
      </c>
      <c r="C217" s="186" t="s">
        <v>616</v>
      </c>
      <c r="D217" s="186" t="s">
        <v>610</v>
      </c>
      <c r="E217" s="186" t="s">
        <v>204</v>
      </c>
      <c r="F217" s="186" t="s">
        <v>196</v>
      </c>
      <c r="G217" s="191">
        <v>2138</v>
      </c>
      <c r="H217" s="202">
        <f>G217*10%</f>
        <v>213.8</v>
      </c>
      <c r="I217" s="334"/>
      <c r="J217" s="329"/>
      <c r="K217" s="330"/>
    </row>
    <row r="218" spans="1:11" ht="14.5" x14ac:dyDescent="0.35">
      <c r="A218" s="186" t="s">
        <v>613</v>
      </c>
      <c r="B218" s="187">
        <v>44823</v>
      </c>
      <c r="C218" s="186" t="s">
        <v>273</v>
      </c>
      <c r="D218" s="186" t="s">
        <v>305</v>
      </c>
      <c r="E218" s="186" t="s">
        <v>204</v>
      </c>
      <c r="F218" s="186" t="s">
        <v>196</v>
      </c>
      <c r="G218" s="191">
        <v>5054</v>
      </c>
      <c r="H218" s="202">
        <f>G218*10%</f>
        <v>505.40000000000003</v>
      </c>
      <c r="I218" s="334"/>
      <c r="J218" s="329"/>
      <c r="K218" s="330"/>
    </row>
    <row r="219" spans="1:11" ht="14.5" x14ac:dyDescent="0.35">
      <c r="A219" s="186" t="s">
        <v>613</v>
      </c>
      <c r="B219" s="187">
        <v>44823</v>
      </c>
      <c r="C219" s="186" t="s">
        <v>207</v>
      </c>
      <c r="D219" s="186" t="s">
        <v>208</v>
      </c>
      <c r="E219" s="186" t="s">
        <v>204</v>
      </c>
      <c r="F219" s="186" t="s">
        <v>196</v>
      </c>
      <c r="G219" s="191">
        <v>1544</v>
      </c>
      <c r="H219" s="202">
        <f>G219*12.5%</f>
        <v>193</v>
      </c>
      <c r="I219" s="334"/>
      <c r="J219" s="329"/>
      <c r="K219" s="330"/>
    </row>
    <row r="220" spans="1:11" ht="14.5" x14ac:dyDescent="0.35">
      <c r="A220" s="186" t="s">
        <v>613</v>
      </c>
      <c r="B220" s="187">
        <v>44823</v>
      </c>
      <c r="C220" s="186" t="s">
        <v>306</v>
      </c>
      <c r="D220" s="186" t="s">
        <v>203</v>
      </c>
      <c r="E220" s="186" t="s">
        <v>204</v>
      </c>
      <c r="F220" s="186" t="s">
        <v>307</v>
      </c>
      <c r="G220" s="191">
        <v>1000</v>
      </c>
      <c r="H220" s="202">
        <f t="shared" ref="H220:H221" si="11">G220*12.5%</f>
        <v>125</v>
      </c>
      <c r="I220" s="334"/>
      <c r="J220" s="329"/>
      <c r="K220" s="330"/>
    </row>
    <row r="221" spans="1:11" ht="28" x14ac:dyDescent="0.35">
      <c r="A221" s="186" t="s">
        <v>613</v>
      </c>
      <c r="B221" s="187">
        <v>44823</v>
      </c>
      <c r="C221" s="186" t="s">
        <v>308</v>
      </c>
      <c r="D221" s="186" t="s">
        <v>300</v>
      </c>
      <c r="E221" s="186" t="s">
        <v>204</v>
      </c>
      <c r="F221" s="186" t="s">
        <v>617</v>
      </c>
      <c r="G221" s="191">
        <v>1500</v>
      </c>
      <c r="H221" s="202">
        <f t="shared" si="11"/>
        <v>187.5</v>
      </c>
      <c r="I221" s="334"/>
      <c r="J221" s="329"/>
      <c r="K221" s="330"/>
    </row>
    <row r="222" spans="1:11" ht="14.5" x14ac:dyDescent="0.35">
      <c r="A222" s="186" t="s">
        <v>613</v>
      </c>
      <c r="B222" s="187">
        <v>45554</v>
      </c>
      <c r="C222" s="186" t="s">
        <v>309</v>
      </c>
      <c r="D222" s="186" t="s">
        <v>203</v>
      </c>
      <c r="E222" s="186" t="s">
        <v>431</v>
      </c>
      <c r="F222" s="192" t="s">
        <v>196</v>
      </c>
      <c r="G222" s="191">
        <v>1381</v>
      </c>
      <c r="H222" s="202">
        <f>G222*10%</f>
        <v>138.1</v>
      </c>
      <c r="I222" s="334"/>
      <c r="J222" s="329"/>
      <c r="K222" s="330"/>
    </row>
    <row r="223" spans="1:11" ht="14.5" x14ac:dyDescent="0.35">
      <c r="A223" s="186" t="s">
        <v>613</v>
      </c>
      <c r="B223" s="187">
        <v>45188</v>
      </c>
      <c r="C223" s="186" t="s">
        <v>263</v>
      </c>
      <c r="D223" s="186" t="s">
        <v>203</v>
      </c>
      <c r="E223" s="186" t="s">
        <v>431</v>
      </c>
      <c r="F223" s="186" t="s">
        <v>196</v>
      </c>
      <c r="G223" s="208">
        <v>1654</v>
      </c>
      <c r="H223" s="202">
        <f>G223*15%</f>
        <v>248.1</v>
      </c>
      <c r="I223" s="335"/>
      <c r="J223" s="329"/>
      <c r="K223" s="330"/>
    </row>
    <row r="224" spans="1:11" ht="14.5" x14ac:dyDescent="0.35">
      <c r="A224" s="186" t="s">
        <v>618</v>
      </c>
      <c r="B224" s="187">
        <v>44834</v>
      </c>
      <c r="C224" s="186" t="s">
        <v>433</v>
      </c>
      <c r="D224" s="186" t="s">
        <v>203</v>
      </c>
      <c r="E224" s="186" t="s">
        <v>310</v>
      </c>
      <c r="F224" s="186" t="s">
        <v>311</v>
      </c>
      <c r="G224" s="191">
        <v>4835</v>
      </c>
      <c r="H224" s="202">
        <f>G224*9%</f>
        <v>435.15</v>
      </c>
      <c r="I224" s="333"/>
      <c r="J224" s="329"/>
      <c r="K224" s="330"/>
    </row>
    <row r="225" spans="1:11" ht="14.5" x14ac:dyDescent="0.35">
      <c r="A225" s="186" t="s">
        <v>618</v>
      </c>
      <c r="B225" s="187">
        <v>44834</v>
      </c>
      <c r="C225" s="186" t="s">
        <v>619</v>
      </c>
      <c r="D225" s="186" t="s">
        <v>312</v>
      </c>
      <c r="E225" s="186" t="s">
        <v>310</v>
      </c>
      <c r="F225" s="186" t="s">
        <v>313</v>
      </c>
      <c r="G225" s="191">
        <v>7500</v>
      </c>
      <c r="H225" s="202">
        <f>G225*9%</f>
        <v>675</v>
      </c>
      <c r="I225" s="334"/>
      <c r="J225" s="329"/>
      <c r="K225" s="330"/>
    </row>
    <row r="226" spans="1:11" ht="14.5" x14ac:dyDescent="0.35">
      <c r="A226" s="186" t="s">
        <v>618</v>
      </c>
      <c r="B226" s="187">
        <v>44834</v>
      </c>
      <c r="C226" s="186" t="s">
        <v>263</v>
      </c>
      <c r="D226" s="186" t="s">
        <v>203</v>
      </c>
      <c r="E226" s="186" t="s">
        <v>204</v>
      </c>
      <c r="F226" s="186" t="s">
        <v>314</v>
      </c>
      <c r="G226" s="191">
        <v>578</v>
      </c>
      <c r="H226" s="202">
        <f>G226*15%</f>
        <v>86.7</v>
      </c>
      <c r="I226" s="334"/>
      <c r="J226" s="329"/>
      <c r="K226" s="330"/>
    </row>
    <row r="227" spans="1:11" ht="14.5" x14ac:dyDescent="0.35">
      <c r="A227" s="186" t="s">
        <v>618</v>
      </c>
      <c r="B227" s="187">
        <v>44834</v>
      </c>
      <c r="C227" s="252" t="s">
        <v>207</v>
      </c>
      <c r="D227" s="252" t="s">
        <v>208</v>
      </c>
      <c r="E227" s="252" t="s">
        <v>204</v>
      </c>
      <c r="F227" s="252" t="s">
        <v>209</v>
      </c>
      <c r="G227" s="191">
        <v>2372</v>
      </c>
      <c r="H227" s="202">
        <f>G227*12.5%</f>
        <v>296.5</v>
      </c>
      <c r="I227" s="334"/>
      <c r="J227" s="329"/>
      <c r="K227" s="330"/>
    </row>
    <row r="228" spans="1:11" ht="14.5" x14ac:dyDescent="0.35">
      <c r="A228" s="186" t="s">
        <v>618</v>
      </c>
      <c r="B228" s="187">
        <v>45565</v>
      </c>
      <c r="C228" s="252" t="s">
        <v>207</v>
      </c>
      <c r="D228" s="252" t="s">
        <v>203</v>
      </c>
      <c r="E228" s="252" t="s">
        <v>204</v>
      </c>
      <c r="F228" s="252" t="s">
        <v>196</v>
      </c>
      <c r="G228" s="191">
        <v>1250</v>
      </c>
      <c r="H228" s="202">
        <f>G228*12.5%</f>
        <v>156.25</v>
      </c>
      <c r="I228" s="334"/>
      <c r="J228" s="329"/>
      <c r="K228" s="330"/>
    </row>
    <row r="229" spans="1:11" ht="14.5" x14ac:dyDescent="0.35">
      <c r="A229" s="186" t="s">
        <v>618</v>
      </c>
      <c r="B229" s="187">
        <v>45565</v>
      </c>
      <c r="C229" s="252" t="s">
        <v>207</v>
      </c>
      <c r="D229" s="252" t="s">
        <v>245</v>
      </c>
      <c r="E229" s="252" t="s">
        <v>204</v>
      </c>
      <c r="F229" s="252" t="s">
        <v>196</v>
      </c>
      <c r="G229" s="191">
        <v>1500</v>
      </c>
      <c r="H229" s="202">
        <f>G229*12.5%</f>
        <v>187.5</v>
      </c>
      <c r="I229" s="334"/>
      <c r="J229" s="329"/>
      <c r="K229" s="330"/>
    </row>
    <row r="230" spans="1:11" ht="14.5" x14ac:dyDescent="0.35">
      <c r="A230" s="186" t="s">
        <v>618</v>
      </c>
      <c r="B230" s="187">
        <v>44834</v>
      </c>
      <c r="C230" s="252" t="s">
        <v>273</v>
      </c>
      <c r="D230" s="252" t="s">
        <v>222</v>
      </c>
      <c r="E230" s="252" t="s">
        <v>222</v>
      </c>
      <c r="F230" s="252" t="s">
        <v>620</v>
      </c>
      <c r="G230" s="191">
        <v>3849</v>
      </c>
      <c r="H230" s="202">
        <f>G230*15%</f>
        <v>577.35</v>
      </c>
      <c r="I230" s="334"/>
      <c r="J230" s="329"/>
      <c r="K230" s="330"/>
    </row>
    <row r="231" spans="1:11" ht="14.5" x14ac:dyDescent="0.35">
      <c r="A231" s="186" t="s">
        <v>618</v>
      </c>
      <c r="B231" s="187">
        <v>45565</v>
      </c>
      <c r="C231" s="252" t="s">
        <v>293</v>
      </c>
      <c r="D231" s="252" t="s">
        <v>222</v>
      </c>
      <c r="E231" s="252" t="s">
        <v>315</v>
      </c>
      <c r="F231" s="252" t="s">
        <v>209</v>
      </c>
      <c r="G231" s="191">
        <v>2200</v>
      </c>
      <c r="H231" s="202">
        <f>G231*9%</f>
        <v>198</v>
      </c>
      <c r="I231" s="335"/>
      <c r="J231" s="329"/>
      <c r="K231" s="330"/>
    </row>
    <row r="232" spans="1:11" ht="14.5" x14ac:dyDescent="0.35">
      <c r="A232" s="252" t="s">
        <v>621</v>
      </c>
      <c r="B232" s="187">
        <v>45930</v>
      </c>
      <c r="C232" s="252" t="s">
        <v>207</v>
      </c>
      <c r="D232" s="252" t="s">
        <v>280</v>
      </c>
      <c r="E232" s="252" t="s">
        <v>204</v>
      </c>
      <c r="F232" s="252" t="s">
        <v>196</v>
      </c>
      <c r="G232" s="191">
        <v>3187</v>
      </c>
      <c r="H232" s="202">
        <f>G232*12.5%</f>
        <v>398.375</v>
      </c>
      <c r="I232" s="333"/>
      <c r="J232" s="329"/>
      <c r="K232" s="330"/>
    </row>
    <row r="233" spans="1:11" ht="14.5" x14ac:dyDescent="0.35">
      <c r="A233" s="252" t="s">
        <v>621</v>
      </c>
      <c r="B233" s="187">
        <v>46295</v>
      </c>
      <c r="C233" s="252" t="s">
        <v>306</v>
      </c>
      <c r="D233" s="252" t="s">
        <v>203</v>
      </c>
      <c r="E233" s="252" t="s">
        <v>204</v>
      </c>
      <c r="F233" s="252" t="s">
        <v>196</v>
      </c>
      <c r="G233" s="191">
        <v>2236</v>
      </c>
      <c r="H233" s="202">
        <f t="shared" ref="H233:H234" si="12">G233*12.5%</f>
        <v>279.5</v>
      </c>
      <c r="I233" s="334"/>
      <c r="J233" s="329"/>
      <c r="K233" s="330"/>
    </row>
    <row r="234" spans="1:11" ht="14.5" x14ac:dyDescent="0.35">
      <c r="A234" s="252" t="s">
        <v>621</v>
      </c>
      <c r="B234" s="187">
        <v>46295</v>
      </c>
      <c r="C234" s="252" t="s">
        <v>306</v>
      </c>
      <c r="D234" s="252" t="s">
        <v>237</v>
      </c>
      <c r="E234" s="252" t="s">
        <v>204</v>
      </c>
      <c r="F234" s="252" t="s">
        <v>196</v>
      </c>
      <c r="G234" s="191">
        <v>2544</v>
      </c>
      <c r="H234" s="202">
        <f t="shared" si="12"/>
        <v>318</v>
      </c>
      <c r="I234" s="334"/>
      <c r="J234" s="329"/>
      <c r="K234" s="330"/>
    </row>
    <row r="235" spans="1:11" ht="14.5" x14ac:dyDescent="0.35">
      <c r="A235" s="252" t="s">
        <v>621</v>
      </c>
      <c r="B235" s="187">
        <v>45930</v>
      </c>
      <c r="C235" s="252" t="s">
        <v>202</v>
      </c>
      <c r="D235" s="252" t="s">
        <v>245</v>
      </c>
      <c r="E235" s="252" t="s">
        <v>204</v>
      </c>
      <c r="F235" s="252" t="s">
        <v>201</v>
      </c>
      <c r="G235" s="191">
        <v>80000</v>
      </c>
      <c r="H235" s="202">
        <f>G235*15%</f>
        <v>12000</v>
      </c>
      <c r="I235" s="334"/>
      <c r="J235" s="329"/>
      <c r="K235" s="330"/>
    </row>
    <row r="236" spans="1:11" ht="14.5" x14ac:dyDescent="0.35">
      <c r="A236" s="252" t="s">
        <v>621</v>
      </c>
      <c r="B236" s="187">
        <v>45930</v>
      </c>
      <c r="C236" s="252" t="s">
        <v>205</v>
      </c>
      <c r="D236" s="252" t="s">
        <v>222</v>
      </c>
      <c r="E236" s="252" t="s">
        <v>204</v>
      </c>
      <c r="F236" s="252" t="s">
        <v>196</v>
      </c>
      <c r="G236" s="191">
        <v>5106</v>
      </c>
      <c r="H236" s="202">
        <v>750</v>
      </c>
      <c r="I236" s="335"/>
      <c r="J236" s="331"/>
      <c r="K236" s="332"/>
    </row>
    <row r="237" spans="1:11" ht="14.5" x14ac:dyDescent="0.35">
      <c r="A237" s="253"/>
      <c r="B237" s="197"/>
      <c r="C237" s="253"/>
      <c r="D237" s="253"/>
      <c r="E237" s="253"/>
      <c r="F237" s="253"/>
      <c r="G237" s="244"/>
      <c r="H237" s="234"/>
      <c r="I237" s="234">
        <f>SUM(H194:H237)</f>
        <v>45451.364999999991</v>
      </c>
      <c r="J237" s="235">
        <v>12765.27</v>
      </c>
      <c r="K237" s="235">
        <v>1367.63</v>
      </c>
    </row>
    <row r="238" spans="1:11" ht="28" x14ac:dyDescent="0.35">
      <c r="A238" s="252" t="s">
        <v>622</v>
      </c>
      <c r="B238" s="187">
        <v>46296</v>
      </c>
      <c r="C238" s="252" t="s">
        <v>220</v>
      </c>
      <c r="D238" s="252" t="s">
        <v>197</v>
      </c>
      <c r="E238" s="252" t="s">
        <v>204</v>
      </c>
      <c r="F238" s="252" t="s">
        <v>620</v>
      </c>
      <c r="G238" s="191">
        <v>780</v>
      </c>
      <c r="H238" s="202">
        <f>G238*0.125</f>
        <v>97.5</v>
      </c>
      <c r="I238" s="202"/>
      <c r="J238" s="245"/>
      <c r="K238" s="246"/>
    </row>
    <row r="239" spans="1:11" ht="46.5" x14ac:dyDescent="0.35">
      <c r="A239" s="254" t="s">
        <v>623</v>
      </c>
      <c r="B239" s="187">
        <v>44840</v>
      </c>
      <c r="C239" s="254" t="s">
        <v>194</v>
      </c>
      <c r="D239" s="255" t="s">
        <v>195</v>
      </c>
      <c r="E239" s="255" t="s">
        <v>431</v>
      </c>
      <c r="F239" s="254" t="s">
        <v>201</v>
      </c>
      <c r="G239" s="229">
        <v>46552</v>
      </c>
      <c r="H239" s="202"/>
      <c r="I239" s="202"/>
      <c r="J239" s="327"/>
      <c r="K239" s="328"/>
    </row>
    <row r="240" spans="1:11" x14ac:dyDescent="0.35">
      <c r="A240" s="254" t="s">
        <v>624</v>
      </c>
      <c r="B240" s="187">
        <v>45573</v>
      </c>
      <c r="C240" s="254" t="s">
        <v>433</v>
      </c>
      <c r="D240" s="254" t="s">
        <v>197</v>
      </c>
      <c r="E240" s="255" t="s">
        <v>204</v>
      </c>
      <c r="F240" s="254" t="s">
        <v>209</v>
      </c>
      <c r="G240" s="229">
        <v>1050</v>
      </c>
      <c r="H240" s="202">
        <f>G240*0.125</f>
        <v>131.25</v>
      </c>
      <c r="I240" s="202"/>
      <c r="J240" s="329"/>
      <c r="K240" s="330"/>
    </row>
    <row r="241" spans="1:11" ht="28" x14ac:dyDescent="0.35">
      <c r="A241" s="186" t="s">
        <v>625</v>
      </c>
      <c r="B241" s="187">
        <v>44844</v>
      </c>
      <c r="C241" s="186" t="s">
        <v>263</v>
      </c>
      <c r="D241" s="186" t="s">
        <v>270</v>
      </c>
      <c r="E241" s="186" t="s">
        <v>427</v>
      </c>
      <c r="F241" s="186" t="s">
        <v>316</v>
      </c>
      <c r="G241" s="230">
        <v>4445</v>
      </c>
      <c r="H241" s="189">
        <f>G241*15%</f>
        <v>666.75</v>
      </c>
      <c r="I241" s="202"/>
      <c r="J241" s="329"/>
      <c r="K241" s="330"/>
    </row>
    <row r="242" spans="1:11" ht="14.5" x14ac:dyDescent="0.35">
      <c r="A242" s="186" t="s">
        <v>626</v>
      </c>
      <c r="B242" s="187">
        <v>45941</v>
      </c>
      <c r="C242" s="186" t="s">
        <v>433</v>
      </c>
      <c r="D242" s="186" t="s">
        <v>317</v>
      </c>
      <c r="E242" s="186" t="s">
        <v>204</v>
      </c>
      <c r="F242" s="186" t="s">
        <v>201</v>
      </c>
      <c r="G242" s="229">
        <v>29936</v>
      </c>
      <c r="H242" s="202">
        <f>G242*0.125</f>
        <v>3742</v>
      </c>
      <c r="I242" s="202"/>
      <c r="J242" s="329"/>
      <c r="K242" s="330"/>
    </row>
    <row r="243" spans="1:11" ht="14.5" x14ac:dyDescent="0.35">
      <c r="A243" s="186" t="s">
        <v>626</v>
      </c>
      <c r="B243" s="187">
        <v>45941</v>
      </c>
      <c r="C243" s="186" t="s">
        <v>318</v>
      </c>
      <c r="D243" s="186" t="s">
        <v>211</v>
      </c>
      <c r="E243" s="186" t="s">
        <v>204</v>
      </c>
      <c r="F243" s="186" t="s">
        <v>319</v>
      </c>
      <c r="G243" s="229">
        <v>13000</v>
      </c>
      <c r="H243" s="202">
        <f t="shared" ref="H243:H246" si="13">G243*0.125</f>
        <v>1625</v>
      </c>
      <c r="I243" s="202"/>
      <c r="J243" s="329"/>
      <c r="K243" s="330"/>
    </row>
    <row r="244" spans="1:11" ht="14.5" x14ac:dyDescent="0.35">
      <c r="A244" s="186" t="s">
        <v>626</v>
      </c>
      <c r="B244" s="187">
        <v>45941</v>
      </c>
      <c r="C244" s="186" t="s">
        <v>320</v>
      </c>
      <c r="D244" s="186" t="s">
        <v>321</v>
      </c>
      <c r="E244" s="186" t="s">
        <v>204</v>
      </c>
      <c r="F244" s="186" t="s">
        <v>322</v>
      </c>
      <c r="G244" s="229">
        <v>12500</v>
      </c>
      <c r="H244" s="202">
        <f t="shared" si="13"/>
        <v>1562.5</v>
      </c>
      <c r="I244" s="202"/>
      <c r="J244" s="329"/>
      <c r="K244" s="330"/>
    </row>
    <row r="245" spans="1:11" ht="14.5" x14ac:dyDescent="0.35">
      <c r="A245" s="186" t="s">
        <v>626</v>
      </c>
      <c r="B245" s="187">
        <v>45941</v>
      </c>
      <c r="C245" s="186" t="s">
        <v>323</v>
      </c>
      <c r="D245" s="186" t="s">
        <v>324</v>
      </c>
      <c r="E245" s="186" t="s">
        <v>204</v>
      </c>
      <c r="F245" s="186" t="s">
        <v>325</v>
      </c>
      <c r="G245" s="229">
        <v>9000</v>
      </c>
      <c r="H245" s="202">
        <f t="shared" si="13"/>
        <v>1125</v>
      </c>
      <c r="I245" s="202"/>
      <c r="J245" s="329"/>
      <c r="K245" s="330"/>
    </row>
    <row r="246" spans="1:11" ht="14.5" x14ac:dyDescent="0.35">
      <c r="A246" s="186" t="s">
        <v>626</v>
      </c>
      <c r="B246" s="187">
        <v>45941</v>
      </c>
      <c r="C246" s="186" t="s">
        <v>326</v>
      </c>
      <c r="D246" s="186" t="s">
        <v>327</v>
      </c>
      <c r="E246" s="186" t="s">
        <v>204</v>
      </c>
      <c r="F246" s="186" t="s">
        <v>328</v>
      </c>
      <c r="G246" s="229">
        <v>10000</v>
      </c>
      <c r="H246" s="202">
        <f t="shared" si="13"/>
        <v>1250</v>
      </c>
      <c r="I246" s="202"/>
      <c r="J246" s="329"/>
      <c r="K246" s="330"/>
    </row>
    <row r="247" spans="1:11" ht="28" x14ac:dyDescent="0.35">
      <c r="A247" s="186" t="s">
        <v>627</v>
      </c>
      <c r="B247" s="187">
        <v>45216</v>
      </c>
      <c r="C247" s="186" t="s">
        <v>263</v>
      </c>
      <c r="D247" s="186" t="s">
        <v>270</v>
      </c>
      <c r="E247" s="186" t="s">
        <v>271</v>
      </c>
      <c r="F247" s="186" t="s">
        <v>329</v>
      </c>
      <c r="G247" s="230">
        <v>8907</v>
      </c>
      <c r="H247" s="189">
        <f>G247*0.1</f>
        <v>890.7</v>
      </c>
      <c r="I247" s="202"/>
      <c r="J247" s="329"/>
      <c r="K247" s="330"/>
    </row>
    <row r="248" spans="1:11" ht="14.5" x14ac:dyDescent="0.35">
      <c r="A248" s="186" t="s">
        <v>628</v>
      </c>
      <c r="B248" s="187">
        <v>45948</v>
      </c>
      <c r="C248" s="186" t="s">
        <v>220</v>
      </c>
      <c r="D248" s="186" t="s">
        <v>203</v>
      </c>
      <c r="E248" s="186" t="s">
        <v>204</v>
      </c>
      <c r="F248" s="186" t="s">
        <v>196</v>
      </c>
      <c r="G248" s="229">
        <v>3500</v>
      </c>
      <c r="H248" s="202">
        <f t="shared" ref="H248:H259" si="14">G248*12.5%</f>
        <v>437.5</v>
      </c>
      <c r="I248" s="202"/>
      <c r="J248" s="329"/>
      <c r="K248" s="330"/>
    </row>
    <row r="249" spans="1:11" ht="14.5" x14ac:dyDescent="0.35">
      <c r="A249" s="186" t="s">
        <v>628</v>
      </c>
      <c r="B249" s="187">
        <v>45948</v>
      </c>
      <c r="C249" s="186" t="s">
        <v>330</v>
      </c>
      <c r="D249" s="186" t="s">
        <v>208</v>
      </c>
      <c r="E249" s="186" t="s">
        <v>204</v>
      </c>
      <c r="F249" s="186" t="s">
        <v>629</v>
      </c>
      <c r="G249" s="229">
        <v>900</v>
      </c>
      <c r="H249" s="202">
        <f t="shared" si="14"/>
        <v>112.5</v>
      </c>
      <c r="I249" s="202"/>
      <c r="J249" s="329"/>
      <c r="K249" s="330"/>
    </row>
    <row r="250" spans="1:11" ht="14.5" x14ac:dyDescent="0.35">
      <c r="A250" s="186" t="s">
        <v>630</v>
      </c>
      <c r="B250" s="187">
        <v>45587</v>
      </c>
      <c r="C250" s="186" t="s">
        <v>631</v>
      </c>
      <c r="D250" s="186" t="s">
        <v>245</v>
      </c>
      <c r="E250" s="186" t="s">
        <v>204</v>
      </c>
      <c r="F250" s="186" t="s">
        <v>201</v>
      </c>
      <c r="G250" s="229">
        <v>68000</v>
      </c>
      <c r="H250" s="202">
        <f t="shared" si="14"/>
        <v>8500</v>
      </c>
      <c r="I250" s="202"/>
      <c r="J250" s="329"/>
      <c r="K250" s="330"/>
    </row>
    <row r="251" spans="1:11" ht="14.5" x14ac:dyDescent="0.35">
      <c r="A251" s="186" t="s">
        <v>630</v>
      </c>
      <c r="B251" s="187">
        <v>45952</v>
      </c>
      <c r="C251" s="186" t="s">
        <v>205</v>
      </c>
      <c r="D251" s="186" t="s">
        <v>252</v>
      </c>
      <c r="E251" s="186" t="s">
        <v>204</v>
      </c>
      <c r="F251" s="186" t="s">
        <v>196</v>
      </c>
      <c r="G251" s="229">
        <v>5466</v>
      </c>
      <c r="H251" s="202">
        <f t="shared" si="14"/>
        <v>683.25</v>
      </c>
      <c r="I251" s="202"/>
      <c r="J251" s="329"/>
      <c r="K251" s="330"/>
    </row>
    <row r="252" spans="1:11" ht="14.5" x14ac:dyDescent="0.35">
      <c r="A252" s="186" t="s">
        <v>630</v>
      </c>
      <c r="B252" s="187">
        <v>45587</v>
      </c>
      <c r="C252" s="186" t="s">
        <v>207</v>
      </c>
      <c r="D252" s="186" t="s">
        <v>208</v>
      </c>
      <c r="E252" s="186" t="s">
        <v>204</v>
      </c>
      <c r="F252" s="186" t="s">
        <v>196</v>
      </c>
      <c r="G252" s="229">
        <v>1228</v>
      </c>
      <c r="H252" s="202">
        <f t="shared" si="14"/>
        <v>153.5</v>
      </c>
      <c r="I252" s="202"/>
      <c r="J252" s="329"/>
      <c r="K252" s="330"/>
    </row>
    <row r="253" spans="1:11" ht="14.5" x14ac:dyDescent="0.35">
      <c r="A253" s="186" t="s">
        <v>630</v>
      </c>
      <c r="B253" s="187">
        <v>45587</v>
      </c>
      <c r="C253" s="186" t="s">
        <v>217</v>
      </c>
      <c r="D253" s="186" t="s">
        <v>248</v>
      </c>
      <c r="E253" s="186" t="s">
        <v>204</v>
      </c>
      <c r="F253" s="186" t="s">
        <v>196</v>
      </c>
      <c r="G253" s="229">
        <v>1000</v>
      </c>
      <c r="H253" s="202">
        <f t="shared" si="14"/>
        <v>125</v>
      </c>
      <c r="I253" s="202"/>
      <c r="J253" s="329"/>
      <c r="K253" s="330"/>
    </row>
    <row r="254" spans="1:11" ht="14.5" x14ac:dyDescent="0.35">
      <c r="A254" s="186" t="s">
        <v>630</v>
      </c>
      <c r="B254" s="187">
        <v>45587</v>
      </c>
      <c r="C254" s="186" t="s">
        <v>331</v>
      </c>
      <c r="D254" s="186" t="s">
        <v>216</v>
      </c>
      <c r="E254" s="186" t="s">
        <v>204</v>
      </c>
      <c r="F254" s="186" t="s">
        <v>196</v>
      </c>
      <c r="G254" s="229">
        <v>1500</v>
      </c>
      <c r="H254" s="202">
        <f t="shared" si="14"/>
        <v>187.5</v>
      </c>
      <c r="I254" s="202"/>
      <c r="J254" s="329"/>
      <c r="K254" s="330"/>
    </row>
    <row r="255" spans="1:11" ht="14.5" x14ac:dyDescent="0.35">
      <c r="A255" s="186" t="s">
        <v>630</v>
      </c>
      <c r="B255" s="187">
        <v>45587</v>
      </c>
      <c r="C255" s="186" t="s">
        <v>332</v>
      </c>
      <c r="D255" s="186" t="s">
        <v>203</v>
      </c>
      <c r="E255" s="186" t="s">
        <v>204</v>
      </c>
      <c r="F255" s="186" t="s">
        <v>196</v>
      </c>
      <c r="G255" s="229">
        <v>1000</v>
      </c>
      <c r="H255" s="202">
        <f t="shared" si="14"/>
        <v>125</v>
      </c>
      <c r="I255" s="202"/>
      <c r="J255" s="329"/>
      <c r="K255" s="330"/>
    </row>
    <row r="256" spans="1:11" ht="14.5" x14ac:dyDescent="0.35">
      <c r="A256" s="186" t="s">
        <v>632</v>
      </c>
      <c r="B256" s="187">
        <v>46317</v>
      </c>
      <c r="C256" s="186" t="s">
        <v>205</v>
      </c>
      <c r="D256" s="186" t="s">
        <v>252</v>
      </c>
      <c r="E256" s="186" t="s">
        <v>431</v>
      </c>
      <c r="F256" s="186" t="s">
        <v>311</v>
      </c>
      <c r="G256" s="229">
        <v>5953</v>
      </c>
      <c r="H256" s="202">
        <v>744.13</v>
      </c>
      <c r="I256" s="202"/>
      <c r="J256" s="329"/>
      <c r="K256" s="330"/>
    </row>
    <row r="257" spans="1:11" ht="28" x14ac:dyDescent="0.35">
      <c r="A257" s="186" t="s">
        <v>517</v>
      </c>
      <c r="B257" s="187">
        <v>45225</v>
      </c>
      <c r="C257" s="186" t="s">
        <v>333</v>
      </c>
      <c r="D257" s="186" t="s">
        <v>270</v>
      </c>
      <c r="E257" s="186" t="s">
        <v>431</v>
      </c>
      <c r="F257" s="186" t="s">
        <v>196</v>
      </c>
      <c r="G257" s="229">
        <v>10222</v>
      </c>
      <c r="H257" s="202">
        <f t="shared" si="14"/>
        <v>1277.75</v>
      </c>
      <c r="I257" s="333"/>
      <c r="J257" s="329"/>
      <c r="K257" s="330"/>
    </row>
    <row r="258" spans="1:11" ht="14.5" x14ac:dyDescent="0.35">
      <c r="A258" s="186" t="s">
        <v>517</v>
      </c>
      <c r="B258" s="187">
        <v>45225</v>
      </c>
      <c r="C258" s="186" t="s">
        <v>524</v>
      </c>
      <c r="D258" s="186" t="s">
        <v>219</v>
      </c>
      <c r="E258" s="186" t="s">
        <v>431</v>
      </c>
      <c r="F258" s="186" t="s">
        <v>480</v>
      </c>
      <c r="G258" s="229">
        <v>1648</v>
      </c>
      <c r="H258" s="202">
        <f t="shared" si="14"/>
        <v>206</v>
      </c>
      <c r="I258" s="334"/>
      <c r="J258" s="329"/>
      <c r="K258" s="330"/>
    </row>
    <row r="259" spans="1:11" ht="14.5" x14ac:dyDescent="0.35">
      <c r="A259" s="186" t="s">
        <v>517</v>
      </c>
      <c r="B259" s="187">
        <v>45225</v>
      </c>
      <c r="C259" s="186" t="s">
        <v>205</v>
      </c>
      <c r="D259" s="186" t="s">
        <v>633</v>
      </c>
      <c r="E259" s="186" t="s">
        <v>431</v>
      </c>
      <c r="F259" s="192" t="s">
        <v>196</v>
      </c>
      <c r="G259" s="191">
        <v>2722</v>
      </c>
      <c r="H259" s="202">
        <f t="shared" si="14"/>
        <v>340.25</v>
      </c>
      <c r="I259" s="335"/>
      <c r="J259" s="329"/>
      <c r="K259" s="330"/>
    </row>
    <row r="260" spans="1:11" ht="14.5" x14ac:dyDescent="0.35">
      <c r="A260" s="186" t="s">
        <v>590</v>
      </c>
      <c r="B260" s="187">
        <v>45960</v>
      </c>
      <c r="C260" s="186" t="s">
        <v>198</v>
      </c>
      <c r="D260" s="186" t="s">
        <v>297</v>
      </c>
      <c r="E260" s="186" t="s">
        <v>335</v>
      </c>
      <c r="F260" s="186" t="s">
        <v>209</v>
      </c>
      <c r="G260" s="191">
        <v>48963</v>
      </c>
      <c r="H260" s="202">
        <f>G260*12%</f>
        <v>5875.5599999999995</v>
      </c>
      <c r="I260" s="202"/>
      <c r="J260" s="329"/>
      <c r="K260" s="330"/>
    </row>
    <row r="261" spans="1:11" ht="14.5" x14ac:dyDescent="0.35">
      <c r="A261" s="186" t="s">
        <v>590</v>
      </c>
      <c r="B261" s="187">
        <v>45960</v>
      </c>
      <c r="C261" s="186" t="s">
        <v>298</v>
      </c>
      <c r="D261" s="186" t="s">
        <v>634</v>
      </c>
      <c r="E261" s="186" t="s">
        <v>335</v>
      </c>
      <c r="F261" s="186" t="s">
        <v>209</v>
      </c>
      <c r="G261" s="191">
        <v>14000</v>
      </c>
      <c r="H261" s="202">
        <f>G261*12%</f>
        <v>1680</v>
      </c>
      <c r="I261" s="202"/>
      <c r="J261" s="329"/>
      <c r="K261" s="330"/>
    </row>
    <row r="262" spans="1:11" ht="14.5" x14ac:dyDescent="0.35">
      <c r="A262" s="186" t="s">
        <v>590</v>
      </c>
      <c r="B262" s="187">
        <v>45960</v>
      </c>
      <c r="C262" s="186" t="s">
        <v>205</v>
      </c>
      <c r="D262" s="186" t="s">
        <v>203</v>
      </c>
      <c r="E262" s="186" t="s">
        <v>335</v>
      </c>
      <c r="F262" s="186" t="s">
        <v>196</v>
      </c>
      <c r="G262" s="191">
        <v>8100</v>
      </c>
      <c r="H262" s="202">
        <f>G262*12%</f>
        <v>972</v>
      </c>
      <c r="I262" s="202"/>
      <c r="J262" s="329"/>
      <c r="K262" s="330"/>
    </row>
    <row r="263" spans="1:11" ht="14.5" x14ac:dyDescent="0.35">
      <c r="A263" s="186" t="s">
        <v>590</v>
      </c>
      <c r="B263" s="187">
        <v>45960</v>
      </c>
      <c r="C263" s="186" t="s">
        <v>288</v>
      </c>
      <c r="D263" s="186" t="s">
        <v>208</v>
      </c>
      <c r="E263" s="186" t="s">
        <v>204</v>
      </c>
      <c r="F263" s="186" t="s">
        <v>196</v>
      </c>
      <c r="G263" s="191">
        <v>2307</v>
      </c>
      <c r="H263" s="202">
        <f>G263*12.5%</f>
        <v>288.375</v>
      </c>
      <c r="I263" s="202"/>
      <c r="J263" s="329"/>
      <c r="K263" s="330"/>
    </row>
    <row r="264" spans="1:11" ht="14.5" x14ac:dyDescent="0.35">
      <c r="A264" s="186" t="s">
        <v>590</v>
      </c>
      <c r="B264" s="187">
        <v>45960</v>
      </c>
      <c r="C264" s="186" t="s">
        <v>217</v>
      </c>
      <c r="D264" s="186" t="s">
        <v>200</v>
      </c>
      <c r="E264" s="186" t="s">
        <v>204</v>
      </c>
      <c r="F264" s="186" t="s">
        <v>196</v>
      </c>
      <c r="G264" s="191">
        <v>3000</v>
      </c>
      <c r="H264" s="202">
        <f>G264*12.5%</f>
        <v>375</v>
      </c>
      <c r="I264" s="202"/>
      <c r="J264" s="329"/>
      <c r="K264" s="330"/>
    </row>
    <row r="265" spans="1:11" ht="14.5" x14ac:dyDescent="0.35">
      <c r="A265" s="186" t="s">
        <v>590</v>
      </c>
      <c r="B265" s="187">
        <v>45960</v>
      </c>
      <c r="C265" s="186" t="s">
        <v>635</v>
      </c>
      <c r="D265" s="186" t="s">
        <v>300</v>
      </c>
      <c r="E265" s="186" t="s">
        <v>204</v>
      </c>
      <c r="F265" s="186" t="s">
        <v>301</v>
      </c>
      <c r="G265" s="191">
        <v>2000</v>
      </c>
      <c r="H265" s="202">
        <f>G265*12.5%</f>
        <v>250</v>
      </c>
      <c r="I265" s="202"/>
      <c r="J265" s="331"/>
      <c r="K265" s="332"/>
    </row>
    <row r="266" spans="1:11" ht="14.5" x14ac:dyDescent="0.35">
      <c r="A266" s="233"/>
      <c r="B266" s="197"/>
      <c r="C266" s="233"/>
      <c r="D266" s="233"/>
      <c r="E266" s="233"/>
      <c r="F266" s="233"/>
      <c r="G266" s="256"/>
      <c r="H266" s="234"/>
      <c r="I266" s="234">
        <f>SUM(H239:H266)</f>
        <v>33326.514999999999</v>
      </c>
      <c r="J266" s="235">
        <v>20429.189999999999</v>
      </c>
      <c r="K266" s="235">
        <v>4251.57</v>
      </c>
    </row>
    <row r="267" spans="1:11" ht="14.5" x14ac:dyDescent="0.35">
      <c r="A267" s="186" t="s">
        <v>636</v>
      </c>
      <c r="B267" s="187">
        <v>44866</v>
      </c>
      <c r="C267" s="186" t="s">
        <v>263</v>
      </c>
      <c r="D267" s="186" t="s">
        <v>270</v>
      </c>
      <c r="E267" s="186" t="s">
        <v>271</v>
      </c>
      <c r="F267" s="186" t="s">
        <v>206</v>
      </c>
      <c r="G267" s="188">
        <v>1993</v>
      </c>
      <c r="H267" s="189">
        <f>G267*10%</f>
        <v>199.3</v>
      </c>
      <c r="I267" s="202"/>
      <c r="J267" s="327"/>
      <c r="K267" s="328"/>
    </row>
    <row r="268" spans="1:11" ht="14.5" x14ac:dyDescent="0.35">
      <c r="A268" s="186" t="s">
        <v>636</v>
      </c>
      <c r="B268" s="187">
        <v>44866</v>
      </c>
      <c r="C268" s="186" t="s">
        <v>269</v>
      </c>
      <c r="D268" s="186" t="s">
        <v>270</v>
      </c>
      <c r="E268" s="186" t="s">
        <v>271</v>
      </c>
      <c r="F268" s="186" t="s">
        <v>206</v>
      </c>
      <c r="G268" s="188">
        <v>1046</v>
      </c>
      <c r="H268" s="189">
        <f>G268*10%</f>
        <v>104.60000000000001</v>
      </c>
      <c r="I268" s="202"/>
      <c r="J268" s="329"/>
      <c r="K268" s="330"/>
    </row>
    <row r="269" spans="1:11" ht="14.5" x14ac:dyDescent="0.35">
      <c r="A269" s="186" t="s">
        <v>637</v>
      </c>
      <c r="B269" s="187">
        <v>45972</v>
      </c>
      <c r="C269" s="186" t="s">
        <v>194</v>
      </c>
      <c r="D269" s="186" t="s">
        <v>195</v>
      </c>
      <c r="E269" s="186" t="s">
        <v>204</v>
      </c>
      <c r="F269" s="186" t="s">
        <v>196</v>
      </c>
      <c r="G269" s="191">
        <v>5219</v>
      </c>
      <c r="H269" s="202"/>
      <c r="I269" s="202"/>
      <c r="J269" s="329"/>
      <c r="K269" s="330"/>
    </row>
    <row r="270" spans="1:11" ht="14.5" x14ac:dyDescent="0.35">
      <c r="A270" s="186" t="s">
        <v>638</v>
      </c>
      <c r="B270" s="187">
        <v>45975</v>
      </c>
      <c r="C270" s="186" t="s">
        <v>194</v>
      </c>
      <c r="D270" s="186" t="s">
        <v>195</v>
      </c>
      <c r="E270" s="186" t="s">
        <v>204</v>
      </c>
      <c r="F270" s="186" t="s">
        <v>196</v>
      </c>
      <c r="G270" s="191">
        <v>3516</v>
      </c>
      <c r="H270" s="202"/>
      <c r="I270" s="202"/>
      <c r="J270" s="329"/>
      <c r="K270" s="330"/>
    </row>
    <row r="271" spans="1:11" ht="14.5" x14ac:dyDescent="0.35">
      <c r="A271" s="186" t="s">
        <v>447</v>
      </c>
      <c r="B271" s="187">
        <v>45612</v>
      </c>
      <c r="C271" s="186" t="s">
        <v>263</v>
      </c>
      <c r="D271" s="186" t="s">
        <v>203</v>
      </c>
      <c r="E271" s="186" t="s">
        <v>431</v>
      </c>
      <c r="F271" s="186" t="s">
        <v>243</v>
      </c>
      <c r="G271" s="191">
        <v>365</v>
      </c>
      <c r="H271" s="202">
        <v>0</v>
      </c>
      <c r="I271" s="202"/>
      <c r="J271" s="329"/>
      <c r="K271" s="330"/>
    </row>
    <row r="272" spans="1:11" ht="14.5" x14ac:dyDescent="0.35">
      <c r="A272" s="186" t="s">
        <v>447</v>
      </c>
      <c r="B272" s="187">
        <v>45604</v>
      </c>
      <c r="C272" s="186" t="s">
        <v>269</v>
      </c>
      <c r="D272" s="186" t="s">
        <v>222</v>
      </c>
      <c r="E272" s="186" t="s">
        <v>431</v>
      </c>
      <c r="F272" s="257" t="s">
        <v>506</v>
      </c>
      <c r="G272" s="191">
        <v>522</v>
      </c>
      <c r="H272" s="202">
        <v>0</v>
      </c>
      <c r="I272" s="202"/>
      <c r="J272" s="329"/>
      <c r="K272" s="330"/>
    </row>
    <row r="273" spans="1:11" ht="33" customHeight="1" x14ac:dyDescent="0.35">
      <c r="A273" s="186" t="s">
        <v>447</v>
      </c>
      <c r="B273" s="187">
        <v>45617</v>
      </c>
      <c r="C273" s="186" t="s">
        <v>334</v>
      </c>
      <c r="D273" s="186" t="s">
        <v>208</v>
      </c>
      <c r="E273" s="186" t="s">
        <v>204</v>
      </c>
      <c r="F273" s="186" t="s">
        <v>639</v>
      </c>
      <c r="G273" s="191">
        <v>2330</v>
      </c>
      <c r="H273" s="202">
        <f>G273*12.5%</f>
        <v>291.25</v>
      </c>
      <c r="I273" s="202"/>
      <c r="J273" s="329"/>
      <c r="K273" s="330"/>
    </row>
    <row r="274" spans="1:11" ht="26.75" customHeight="1" x14ac:dyDescent="0.35">
      <c r="A274" s="186" t="s">
        <v>640</v>
      </c>
      <c r="B274" s="187">
        <v>45612</v>
      </c>
      <c r="C274" s="186" t="s">
        <v>433</v>
      </c>
      <c r="D274" s="186" t="s">
        <v>195</v>
      </c>
      <c r="E274" s="186" t="s">
        <v>204</v>
      </c>
      <c r="F274" s="186" t="s">
        <v>311</v>
      </c>
      <c r="G274" s="191">
        <v>6854</v>
      </c>
      <c r="H274" s="202"/>
      <c r="I274" s="202"/>
      <c r="J274" s="329"/>
      <c r="K274" s="330"/>
    </row>
    <row r="275" spans="1:11" ht="24" customHeight="1" x14ac:dyDescent="0.35">
      <c r="A275" s="186" t="s">
        <v>640</v>
      </c>
      <c r="B275" s="187">
        <v>45612</v>
      </c>
      <c r="C275" s="186" t="s">
        <v>207</v>
      </c>
      <c r="D275" s="186" t="s">
        <v>219</v>
      </c>
      <c r="E275" s="186" t="s">
        <v>204</v>
      </c>
      <c r="F275" s="186" t="s">
        <v>196</v>
      </c>
      <c r="G275" s="191">
        <v>1057</v>
      </c>
      <c r="H275" s="202">
        <f>G275*10%</f>
        <v>105.7</v>
      </c>
      <c r="I275" s="202"/>
      <c r="J275" s="329"/>
      <c r="K275" s="330"/>
    </row>
    <row r="276" spans="1:11" ht="28" x14ac:dyDescent="0.35">
      <c r="A276" s="258" t="s">
        <v>640</v>
      </c>
      <c r="B276" s="187">
        <v>45977</v>
      </c>
      <c r="C276" s="186" t="s">
        <v>302</v>
      </c>
      <c r="D276" s="186" t="s">
        <v>222</v>
      </c>
      <c r="E276" s="186" t="s">
        <v>204</v>
      </c>
      <c r="F276" s="186" t="s">
        <v>196</v>
      </c>
      <c r="G276" s="191">
        <v>2500</v>
      </c>
      <c r="H276" s="202">
        <f>G276*0.125</f>
        <v>312.5</v>
      </c>
      <c r="I276" s="202"/>
      <c r="J276" s="329"/>
      <c r="K276" s="330"/>
    </row>
    <row r="277" spans="1:11" ht="14.5" x14ac:dyDescent="0.35">
      <c r="A277" s="186" t="s">
        <v>641</v>
      </c>
      <c r="B277" s="187">
        <v>45622</v>
      </c>
      <c r="C277" s="186" t="s">
        <v>207</v>
      </c>
      <c r="D277" s="186" t="s">
        <v>208</v>
      </c>
      <c r="E277" s="186" t="s">
        <v>204</v>
      </c>
      <c r="F277" s="186" t="s">
        <v>209</v>
      </c>
      <c r="G277" s="191">
        <v>7028</v>
      </c>
      <c r="H277" s="202">
        <f>G277*12.5%</f>
        <v>878.5</v>
      </c>
      <c r="I277" s="202"/>
      <c r="J277" s="329"/>
      <c r="K277" s="330"/>
    </row>
    <row r="278" spans="1:11" ht="14.5" x14ac:dyDescent="0.35">
      <c r="A278" s="186" t="s">
        <v>641</v>
      </c>
      <c r="B278" s="187">
        <v>45622</v>
      </c>
      <c r="C278" s="186" t="s">
        <v>220</v>
      </c>
      <c r="D278" s="186" t="s">
        <v>266</v>
      </c>
      <c r="E278" s="186" t="s">
        <v>204</v>
      </c>
      <c r="F278" s="186" t="s">
        <v>209</v>
      </c>
      <c r="G278" s="191">
        <v>26000</v>
      </c>
      <c r="H278" s="202">
        <f>G278*12.5%</f>
        <v>3250</v>
      </c>
      <c r="I278" s="202"/>
      <c r="J278" s="329"/>
      <c r="K278" s="330"/>
    </row>
    <row r="279" spans="1:11" ht="14.5" x14ac:dyDescent="0.35">
      <c r="A279" s="186" t="s">
        <v>641</v>
      </c>
      <c r="B279" s="187">
        <v>45622</v>
      </c>
      <c r="C279" s="186" t="s">
        <v>336</v>
      </c>
      <c r="D279" s="186" t="s">
        <v>642</v>
      </c>
      <c r="E279" s="186" t="s">
        <v>204</v>
      </c>
      <c r="F279" s="186" t="s">
        <v>201</v>
      </c>
      <c r="G279" s="191">
        <v>25209</v>
      </c>
      <c r="H279" s="202">
        <f>G279*12.5%</f>
        <v>3151.125</v>
      </c>
      <c r="I279" s="202"/>
      <c r="J279" s="331"/>
      <c r="K279" s="332"/>
    </row>
    <row r="280" spans="1:11" ht="14.5" x14ac:dyDescent="0.35">
      <c r="A280" s="346"/>
      <c r="B280" s="347"/>
      <c r="C280" s="347"/>
      <c r="D280" s="347"/>
      <c r="E280" s="347"/>
      <c r="F280" s="347"/>
      <c r="G280" s="348"/>
      <c r="H280" s="234"/>
      <c r="I280" s="234">
        <f>SUM(H267:H280)</f>
        <v>8292.9750000000004</v>
      </c>
      <c r="J280" s="259">
        <v>10524</v>
      </c>
      <c r="K280" s="259">
        <v>2259.6</v>
      </c>
    </row>
    <row r="281" spans="1:11" ht="14.5" x14ac:dyDescent="0.35">
      <c r="A281" s="224" t="s">
        <v>643</v>
      </c>
      <c r="B281" s="225">
        <v>45627</v>
      </c>
      <c r="C281" s="224" t="s">
        <v>202</v>
      </c>
      <c r="D281" s="224" t="s">
        <v>229</v>
      </c>
      <c r="E281" s="224" t="s">
        <v>204</v>
      </c>
      <c r="F281" s="224" t="s">
        <v>196</v>
      </c>
      <c r="G281" s="260">
        <v>13050</v>
      </c>
      <c r="H281" s="226">
        <f>G281*12.5%</f>
        <v>1631.25</v>
      </c>
      <c r="I281" s="226"/>
      <c r="J281" s="349"/>
      <c r="K281" s="350"/>
    </row>
    <row r="282" spans="1:11" ht="14.5" x14ac:dyDescent="0.35">
      <c r="A282" s="224" t="s">
        <v>644</v>
      </c>
      <c r="B282" s="225">
        <v>45627</v>
      </c>
      <c r="C282" s="224" t="s">
        <v>202</v>
      </c>
      <c r="D282" s="224" t="s">
        <v>229</v>
      </c>
      <c r="E282" s="224" t="s">
        <v>204</v>
      </c>
      <c r="F282" s="224" t="s">
        <v>196</v>
      </c>
      <c r="G282" s="260">
        <v>13050</v>
      </c>
      <c r="H282" s="226">
        <f>G282*12.5%</f>
        <v>1631.25</v>
      </c>
      <c r="I282" s="261"/>
      <c r="J282" s="351"/>
      <c r="K282" s="352"/>
    </row>
    <row r="283" spans="1:11" ht="14.5" x14ac:dyDescent="0.35">
      <c r="A283" s="224" t="s">
        <v>645</v>
      </c>
      <c r="B283" s="225">
        <v>44896</v>
      </c>
      <c r="C283" s="224" t="s">
        <v>433</v>
      </c>
      <c r="D283" s="224" t="s">
        <v>195</v>
      </c>
      <c r="E283" s="186" t="s">
        <v>204</v>
      </c>
      <c r="F283" s="224" t="s">
        <v>196</v>
      </c>
      <c r="G283" s="260">
        <v>2500</v>
      </c>
      <c r="H283" s="226"/>
      <c r="I283" s="226"/>
      <c r="J283" s="351"/>
      <c r="K283" s="352"/>
    </row>
    <row r="284" spans="1:11" ht="14.5" x14ac:dyDescent="0.35">
      <c r="A284" s="224" t="s">
        <v>636</v>
      </c>
      <c r="B284" s="225">
        <v>45627</v>
      </c>
      <c r="C284" s="224" t="s">
        <v>469</v>
      </c>
      <c r="D284" s="224" t="s">
        <v>241</v>
      </c>
      <c r="E284" s="224" t="s">
        <v>204</v>
      </c>
      <c r="F284" s="224" t="s">
        <v>196</v>
      </c>
      <c r="G284" s="260">
        <v>5313</v>
      </c>
      <c r="H284" s="226">
        <f>G284*10%</f>
        <v>531.30000000000007</v>
      </c>
      <c r="I284" s="226"/>
      <c r="J284" s="351"/>
      <c r="K284" s="352"/>
    </row>
    <row r="285" spans="1:11" ht="14.5" x14ac:dyDescent="0.35">
      <c r="A285" s="224" t="s">
        <v>636</v>
      </c>
      <c r="B285" s="225">
        <v>45627</v>
      </c>
      <c r="C285" s="224" t="s">
        <v>240</v>
      </c>
      <c r="D285" s="224" t="s">
        <v>241</v>
      </c>
      <c r="E285" s="224" t="s">
        <v>204</v>
      </c>
      <c r="F285" s="224" t="s">
        <v>201</v>
      </c>
      <c r="G285" s="260">
        <v>8057</v>
      </c>
      <c r="H285" s="226">
        <f>G285*10%</f>
        <v>805.7</v>
      </c>
      <c r="I285" s="226"/>
      <c r="J285" s="351"/>
      <c r="K285" s="352"/>
    </row>
    <row r="286" spans="1:11" ht="42" x14ac:dyDescent="0.35">
      <c r="A286" s="224" t="s">
        <v>636</v>
      </c>
      <c r="B286" s="225">
        <v>45627</v>
      </c>
      <c r="C286" s="224" t="s">
        <v>236</v>
      </c>
      <c r="D286" s="224" t="s">
        <v>337</v>
      </c>
      <c r="E286" s="224" t="s">
        <v>238</v>
      </c>
      <c r="F286" s="224" t="s">
        <v>338</v>
      </c>
      <c r="G286" s="260">
        <v>3522</v>
      </c>
      <c r="H286" s="226">
        <f>G286*10%</f>
        <v>352.20000000000005</v>
      </c>
      <c r="I286" s="226"/>
      <c r="J286" s="351"/>
      <c r="K286" s="352"/>
    </row>
    <row r="287" spans="1:11" ht="14.5" x14ac:dyDescent="0.35">
      <c r="A287" s="224" t="s">
        <v>636</v>
      </c>
      <c r="B287" s="225">
        <v>45627</v>
      </c>
      <c r="C287" s="224" t="s">
        <v>245</v>
      </c>
      <c r="D287" s="224" t="s">
        <v>245</v>
      </c>
      <c r="E287" s="224" t="s">
        <v>204</v>
      </c>
      <c r="F287" s="224" t="s">
        <v>201</v>
      </c>
      <c r="G287" s="260">
        <v>75000</v>
      </c>
      <c r="H287" s="226">
        <f t="shared" ref="H287:H294" si="15">G287*12.5%</f>
        <v>9375</v>
      </c>
      <c r="I287" s="226"/>
      <c r="J287" s="351"/>
      <c r="K287" s="352"/>
    </row>
    <row r="288" spans="1:11" ht="14.5" x14ac:dyDescent="0.35">
      <c r="A288" s="224" t="s">
        <v>636</v>
      </c>
      <c r="B288" s="225">
        <v>45627</v>
      </c>
      <c r="C288" s="224" t="s">
        <v>286</v>
      </c>
      <c r="D288" s="224" t="s">
        <v>203</v>
      </c>
      <c r="E288" s="224" t="s">
        <v>204</v>
      </c>
      <c r="F288" s="224" t="s">
        <v>295</v>
      </c>
      <c r="G288" s="260">
        <v>41250</v>
      </c>
      <c r="H288" s="226">
        <f t="shared" si="15"/>
        <v>5156.25</v>
      </c>
      <c r="I288" s="226"/>
      <c r="J288" s="351"/>
      <c r="K288" s="352"/>
    </row>
    <row r="289" spans="1:11" ht="14.5" x14ac:dyDescent="0.35">
      <c r="A289" s="224" t="s">
        <v>636</v>
      </c>
      <c r="B289" s="225">
        <v>45627</v>
      </c>
      <c r="C289" s="224" t="s">
        <v>286</v>
      </c>
      <c r="D289" s="224" t="s">
        <v>339</v>
      </c>
      <c r="E289" s="224" t="s">
        <v>204</v>
      </c>
      <c r="F289" s="224" t="s">
        <v>340</v>
      </c>
      <c r="G289" s="260">
        <v>24750</v>
      </c>
      <c r="H289" s="226">
        <f t="shared" si="15"/>
        <v>3093.75</v>
      </c>
      <c r="I289" s="226"/>
      <c r="J289" s="351"/>
      <c r="K289" s="352"/>
    </row>
    <row r="290" spans="1:11" ht="14.5" x14ac:dyDescent="0.35">
      <c r="A290" s="224" t="s">
        <v>636</v>
      </c>
      <c r="B290" s="225">
        <v>45627</v>
      </c>
      <c r="C290" s="224" t="s">
        <v>286</v>
      </c>
      <c r="D290" s="224" t="s">
        <v>341</v>
      </c>
      <c r="E290" s="224" t="s">
        <v>204</v>
      </c>
      <c r="F290" s="224" t="s">
        <v>342</v>
      </c>
      <c r="G290" s="260">
        <v>20000</v>
      </c>
      <c r="H290" s="226">
        <f t="shared" si="15"/>
        <v>2500</v>
      </c>
      <c r="I290" s="226"/>
      <c r="J290" s="351"/>
      <c r="K290" s="352"/>
    </row>
    <row r="291" spans="1:11" ht="14.5" x14ac:dyDescent="0.35">
      <c r="A291" s="224" t="s">
        <v>636</v>
      </c>
      <c r="B291" s="225">
        <v>45627</v>
      </c>
      <c r="C291" s="224" t="s">
        <v>286</v>
      </c>
      <c r="D291" s="224" t="s">
        <v>642</v>
      </c>
      <c r="E291" s="224" t="s">
        <v>204</v>
      </c>
      <c r="F291" s="224" t="s">
        <v>343</v>
      </c>
      <c r="G291" s="260">
        <v>15000</v>
      </c>
      <c r="H291" s="226">
        <f t="shared" si="15"/>
        <v>1875</v>
      </c>
      <c r="I291" s="226"/>
      <c r="J291" s="351"/>
      <c r="K291" s="352"/>
    </row>
    <row r="292" spans="1:11" ht="14.5" x14ac:dyDescent="0.35">
      <c r="A292" s="224" t="s">
        <v>636</v>
      </c>
      <c r="B292" s="225">
        <v>46357</v>
      </c>
      <c r="C292" s="224" t="s">
        <v>646</v>
      </c>
      <c r="D292" s="224" t="s">
        <v>237</v>
      </c>
      <c r="E292" s="224" t="s">
        <v>204</v>
      </c>
      <c r="F292" s="224" t="s">
        <v>274</v>
      </c>
      <c r="G292" s="260">
        <v>4047</v>
      </c>
      <c r="H292" s="226">
        <f t="shared" si="15"/>
        <v>505.875</v>
      </c>
      <c r="I292" s="226"/>
      <c r="J292" s="351"/>
      <c r="K292" s="352"/>
    </row>
    <row r="293" spans="1:11" ht="14.5" x14ac:dyDescent="0.35">
      <c r="A293" s="224" t="s">
        <v>636</v>
      </c>
      <c r="B293" s="225">
        <v>46357</v>
      </c>
      <c r="C293" s="224" t="s">
        <v>217</v>
      </c>
      <c r="D293" s="224" t="s">
        <v>647</v>
      </c>
      <c r="E293" s="224" t="s">
        <v>204</v>
      </c>
      <c r="F293" s="224" t="s">
        <v>307</v>
      </c>
      <c r="G293" s="260">
        <v>6746</v>
      </c>
      <c r="H293" s="226">
        <f t="shared" si="15"/>
        <v>843.25</v>
      </c>
      <c r="I293" s="226"/>
      <c r="J293" s="351"/>
      <c r="K293" s="352"/>
    </row>
    <row r="294" spans="1:11" ht="14.5" x14ac:dyDescent="0.35">
      <c r="A294" s="224" t="s">
        <v>636</v>
      </c>
      <c r="B294" s="225">
        <v>46357</v>
      </c>
      <c r="C294" s="224" t="s">
        <v>648</v>
      </c>
      <c r="D294" s="224" t="s">
        <v>280</v>
      </c>
      <c r="E294" s="224" t="s">
        <v>204</v>
      </c>
      <c r="F294" s="224" t="s">
        <v>307</v>
      </c>
      <c r="G294" s="260">
        <v>12279</v>
      </c>
      <c r="H294" s="226">
        <f t="shared" si="15"/>
        <v>1534.875</v>
      </c>
      <c r="I294" s="226"/>
      <c r="J294" s="351"/>
      <c r="K294" s="352"/>
    </row>
    <row r="295" spans="1:11" ht="14.5" x14ac:dyDescent="0.35">
      <c r="A295" s="224" t="s">
        <v>649</v>
      </c>
      <c r="B295" s="225">
        <v>45630</v>
      </c>
      <c r="C295" s="224" t="s">
        <v>194</v>
      </c>
      <c r="D295" s="224" t="s">
        <v>195</v>
      </c>
      <c r="E295" s="224" t="s">
        <v>204</v>
      </c>
      <c r="F295" s="224" t="s">
        <v>196</v>
      </c>
      <c r="G295" s="260">
        <v>3125</v>
      </c>
      <c r="H295" s="226"/>
      <c r="I295" s="226"/>
      <c r="J295" s="351"/>
      <c r="K295" s="352"/>
    </row>
    <row r="296" spans="1:11" ht="28" x14ac:dyDescent="0.35">
      <c r="A296" s="224" t="s">
        <v>650</v>
      </c>
      <c r="B296" s="225">
        <v>45995</v>
      </c>
      <c r="C296" s="224" t="s">
        <v>286</v>
      </c>
      <c r="D296" s="224" t="s">
        <v>651</v>
      </c>
      <c r="E296" s="224" t="s">
        <v>204</v>
      </c>
      <c r="F296" s="224" t="s">
        <v>228</v>
      </c>
      <c r="G296" s="260">
        <v>259910</v>
      </c>
      <c r="H296" s="226">
        <f t="shared" ref="H296:H301" si="16">G296*12.5%</f>
        <v>32488.75</v>
      </c>
      <c r="I296" s="226"/>
      <c r="J296" s="351"/>
      <c r="K296" s="352"/>
    </row>
    <row r="297" spans="1:11" ht="14.5" x14ac:dyDescent="0.35">
      <c r="A297" s="224" t="s">
        <v>650</v>
      </c>
      <c r="B297" s="225">
        <v>45995</v>
      </c>
      <c r="C297" s="224" t="s">
        <v>205</v>
      </c>
      <c r="D297" s="224" t="s">
        <v>652</v>
      </c>
      <c r="E297" s="224" t="s">
        <v>204</v>
      </c>
      <c r="F297" s="224" t="s">
        <v>201</v>
      </c>
      <c r="G297" s="260">
        <v>25075</v>
      </c>
      <c r="H297" s="226">
        <f t="shared" si="16"/>
        <v>3134.375</v>
      </c>
      <c r="I297" s="226"/>
      <c r="J297" s="351"/>
      <c r="K297" s="352"/>
    </row>
    <row r="298" spans="1:11" ht="28" x14ac:dyDescent="0.35">
      <c r="A298" s="224" t="s">
        <v>650</v>
      </c>
      <c r="B298" s="225">
        <v>45995</v>
      </c>
      <c r="C298" s="224" t="s">
        <v>207</v>
      </c>
      <c r="D298" s="224" t="s">
        <v>653</v>
      </c>
      <c r="E298" s="224" t="s">
        <v>204</v>
      </c>
      <c r="F298" s="224" t="s">
        <v>654</v>
      </c>
      <c r="G298" s="260">
        <v>24878</v>
      </c>
      <c r="H298" s="226">
        <f t="shared" si="16"/>
        <v>3109.75</v>
      </c>
      <c r="I298" s="226"/>
      <c r="J298" s="351"/>
      <c r="K298" s="352"/>
    </row>
    <row r="299" spans="1:11" ht="14.5" x14ac:dyDescent="0.35">
      <c r="A299" s="186" t="s">
        <v>655</v>
      </c>
      <c r="B299" s="187">
        <v>45637</v>
      </c>
      <c r="C299" s="186" t="s">
        <v>344</v>
      </c>
      <c r="D299" s="186" t="s">
        <v>245</v>
      </c>
      <c r="E299" s="186" t="s">
        <v>335</v>
      </c>
      <c r="F299" s="186" t="s">
        <v>201</v>
      </c>
      <c r="G299" s="191">
        <v>78000</v>
      </c>
      <c r="H299" s="202">
        <f>G299*12.5%</f>
        <v>9750</v>
      </c>
      <c r="I299" s="202"/>
      <c r="J299" s="351"/>
      <c r="K299" s="352"/>
    </row>
    <row r="300" spans="1:11" ht="14.5" x14ac:dyDescent="0.35">
      <c r="A300" s="186" t="s">
        <v>655</v>
      </c>
      <c r="B300" s="187">
        <v>45637</v>
      </c>
      <c r="C300" s="186" t="s">
        <v>273</v>
      </c>
      <c r="D300" s="186" t="s">
        <v>245</v>
      </c>
      <c r="E300" s="186" t="s">
        <v>335</v>
      </c>
      <c r="F300" s="186" t="s">
        <v>196</v>
      </c>
      <c r="G300" s="191">
        <v>7870</v>
      </c>
      <c r="H300" s="202">
        <f t="shared" si="16"/>
        <v>983.75</v>
      </c>
      <c r="I300" s="202"/>
      <c r="J300" s="351"/>
      <c r="K300" s="352"/>
    </row>
    <row r="301" spans="1:11" ht="14.5" x14ac:dyDescent="0.35">
      <c r="A301" s="186" t="s">
        <v>655</v>
      </c>
      <c r="B301" s="187">
        <v>46002</v>
      </c>
      <c r="C301" s="186" t="s">
        <v>207</v>
      </c>
      <c r="D301" s="186" t="s">
        <v>219</v>
      </c>
      <c r="E301" s="186" t="s">
        <v>335</v>
      </c>
      <c r="F301" s="186" t="s">
        <v>209</v>
      </c>
      <c r="G301" s="191">
        <v>2724</v>
      </c>
      <c r="H301" s="202">
        <f t="shared" si="16"/>
        <v>340.5</v>
      </c>
      <c r="I301" s="202"/>
      <c r="J301" s="351"/>
      <c r="K301" s="352"/>
    </row>
    <row r="302" spans="1:11" ht="28" x14ac:dyDescent="0.35">
      <c r="A302" s="186" t="s">
        <v>656</v>
      </c>
      <c r="B302" s="187">
        <v>45641</v>
      </c>
      <c r="C302" s="186" t="s">
        <v>345</v>
      </c>
      <c r="D302" s="186" t="s">
        <v>232</v>
      </c>
      <c r="E302" s="186" t="s">
        <v>204</v>
      </c>
      <c r="F302" s="186" t="s">
        <v>209</v>
      </c>
      <c r="G302" s="243">
        <v>2662</v>
      </c>
      <c r="H302" s="202">
        <f>G302*11.5%</f>
        <v>306.13</v>
      </c>
      <c r="I302" s="202"/>
      <c r="J302" s="351"/>
      <c r="K302" s="352"/>
    </row>
    <row r="303" spans="1:11" ht="28" x14ac:dyDescent="0.35">
      <c r="A303" s="186" t="s">
        <v>656</v>
      </c>
      <c r="B303" s="187">
        <v>45641</v>
      </c>
      <c r="C303" s="186" t="s">
        <v>346</v>
      </c>
      <c r="D303" s="186" t="s">
        <v>339</v>
      </c>
      <c r="E303" s="186" t="s">
        <v>204</v>
      </c>
      <c r="F303" s="186" t="s">
        <v>201</v>
      </c>
      <c r="G303" s="243">
        <v>54973</v>
      </c>
      <c r="H303" s="202">
        <f>G303*12.5%</f>
        <v>6871.625</v>
      </c>
      <c r="I303" s="202"/>
      <c r="J303" s="351"/>
      <c r="K303" s="352"/>
    </row>
    <row r="304" spans="1:11" ht="28" x14ac:dyDescent="0.35">
      <c r="A304" s="186" t="s">
        <v>656</v>
      </c>
      <c r="B304" s="187">
        <v>45641</v>
      </c>
      <c r="C304" s="186" t="s">
        <v>347</v>
      </c>
      <c r="D304" s="186" t="s">
        <v>348</v>
      </c>
      <c r="E304" s="186" t="s">
        <v>204</v>
      </c>
      <c r="F304" s="186" t="s">
        <v>228</v>
      </c>
      <c r="G304" s="243">
        <v>38400</v>
      </c>
      <c r="H304" s="202">
        <f>G304*12.5%</f>
        <v>4800</v>
      </c>
      <c r="I304" s="202"/>
      <c r="J304" s="351"/>
      <c r="K304" s="352"/>
    </row>
    <row r="305" spans="1:11" ht="14.5" x14ac:dyDescent="0.35">
      <c r="A305" s="186" t="s">
        <v>656</v>
      </c>
      <c r="B305" s="187">
        <v>45641</v>
      </c>
      <c r="C305" s="186" t="s">
        <v>273</v>
      </c>
      <c r="D305" s="186" t="s">
        <v>253</v>
      </c>
      <c r="E305" s="186" t="s">
        <v>204</v>
      </c>
      <c r="F305" s="186" t="s">
        <v>349</v>
      </c>
      <c r="G305" s="243">
        <v>6330</v>
      </c>
      <c r="H305" s="202">
        <f>G305*12.5%</f>
        <v>791.25</v>
      </c>
      <c r="I305" s="202"/>
      <c r="J305" s="351"/>
      <c r="K305" s="352"/>
    </row>
    <row r="306" spans="1:11" ht="14.5" x14ac:dyDescent="0.35">
      <c r="A306" s="186" t="s">
        <v>656</v>
      </c>
      <c r="B306" s="187">
        <v>45641</v>
      </c>
      <c r="C306" s="186" t="s">
        <v>207</v>
      </c>
      <c r="D306" s="186" t="s">
        <v>208</v>
      </c>
      <c r="E306" s="186" t="s">
        <v>204</v>
      </c>
      <c r="F306" s="186" t="s">
        <v>209</v>
      </c>
      <c r="G306" s="243">
        <v>5664</v>
      </c>
      <c r="H306" s="202">
        <f>G306*12.5%</f>
        <v>708</v>
      </c>
      <c r="I306" s="202"/>
      <c r="J306" s="351"/>
      <c r="K306" s="352"/>
    </row>
    <row r="307" spans="1:11" ht="14.5" x14ac:dyDescent="0.35">
      <c r="A307" s="186" t="s">
        <v>657</v>
      </c>
      <c r="B307" s="225">
        <v>44914</v>
      </c>
      <c r="C307" s="224" t="s">
        <v>350</v>
      </c>
      <c r="D307" s="224" t="s">
        <v>299</v>
      </c>
      <c r="E307" s="224" t="s">
        <v>204</v>
      </c>
      <c r="F307" s="224" t="s">
        <v>196</v>
      </c>
      <c r="G307" s="260">
        <v>14170</v>
      </c>
      <c r="H307" s="226">
        <f>G307*12%</f>
        <v>1700.3999999999999</v>
      </c>
      <c r="I307" s="226"/>
      <c r="J307" s="351"/>
      <c r="K307" s="352"/>
    </row>
    <row r="308" spans="1:11" ht="14.5" x14ac:dyDescent="0.35">
      <c r="A308" s="262" t="s">
        <v>657</v>
      </c>
      <c r="B308" s="225">
        <v>45279</v>
      </c>
      <c r="C308" s="262" t="s">
        <v>205</v>
      </c>
      <c r="D308" s="262" t="s">
        <v>253</v>
      </c>
      <c r="E308" s="262" t="s">
        <v>204</v>
      </c>
      <c r="F308" s="263" t="s">
        <v>196</v>
      </c>
      <c r="G308" s="264">
        <v>5627</v>
      </c>
      <c r="H308" s="226">
        <f>G308*12.5%</f>
        <v>703.375</v>
      </c>
      <c r="I308" s="226"/>
      <c r="J308" s="353"/>
      <c r="K308" s="354"/>
    </row>
    <row r="309" spans="1:11" ht="14.5" x14ac:dyDescent="0.35">
      <c r="A309" s="265"/>
      <c r="B309" s="266"/>
      <c r="C309" s="265"/>
      <c r="D309" s="196"/>
      <c r="E309" s="196"/>
      <c r="F309" s="198"/>
      <c r="G309" s="199"/>
      <c r="H309" s="234"/>
      <c r="I309" s="234">
        <f>SUM(H281:H308)</f>
        <v>95523.604999999996</v>
      </c>
      <c r="J309" s="267">
        <v>2233.5100000000002</v>
      </c>
      <c r="K309" s="267">
        <v>2830.66</v>
      </c>
    </row>
    <row r="310" spans="1:11" ht="14.5" x14ac:dyDescent="0.35">
      <c r="A310" s="268"/>
      <c r="B310" s="269"/>
      <c r="C310" s="270"/>
      <c r="D310" s="355" t="s">
        <v>658</v>
      </c>
      <c r="E310" s="356"/>
      <c r="F310" s="357"/>
      <c r="G310" s="260">
        <f>SUM(G2:G308)</f>
        <v>3996749.12</v>
      </c>
      <c r="H310" s="226">
        <f>SUM(H2:H308)</f>
        <v>444349.02265000006</v>
      </c>
      <c r="I310" s="226">
        <f>SUM(I22,I55,I84,I107,I131,I151,I167,I193,I237,I266,I280,I309)</f>
        <v>444251.52265</v>
      </c>
      <c r="J310" s="271"/>
      <c r="K310" s="271"/>
    </row>
    <row r="311" spans="1:11" ht="14.5" x14ac:dyDescent="0.35">
      <c r="A311" s="268"/>
      <c r="B311" s="269"/>
      <c r="C311" s="270"/>
      <c r="D311" s="272"/>
      <c r="E311" s="272"/>
      <c r="F311" s="272"/>
      <c r="G311" s="273"/>
      <c r="H311" s="274"/>
      <c r="I311" s="274"/>
      <c r="J311" s="271">
        <f>SUM(J22:J310)</f>
        <v>180702.83</v>
      </c>
      <c r="K311" s="271">
        <f>SUM(K22:K310)</f>
        <v>21979.859999999997</v>
      </c>
    </row>
    <row r="312" spans="1:11" ht="14.5" x14ac:dyDescent="0.35">
      <c r="A312" s="268"/>
      <c r="B312" s="269"/>
      <c r="C312" s="270"/>
      <c r="D312" s="275"/>
      <c r="E312" s="341" t="s">
        <v>659</v>
      </c>
      <c r="F312" s="342"/>
      <c r="G312" s="276">
        <f>G310</f>
        <v>3996749.12</v>
      </c>
      <c r="H312" s="277">
        <f>H310</f>
        <v>444349.02265000006</v>
      </c>
      <c r="I312" s="278"/>
      <c r="J312" s="279"/>
      <c r="K312" s="279"/>
    </row>
    <row r="313" spans="1:11" ht="14.5" x14ac:dyDescent="0.35">
      <c r="A313" s="268"/>
      <c r="B313" s="269"/>
      <c r="C313" s="270"/>
      <c r="D313" s="275"/>
      <c r="E313" s="280" t="s">
        <v>660</v>
      </c>
      <c r="F313" s="281"/>
      <c r="G313" s="276"/>
      <c r="H313" s="277">
        <f>J311</f>
        <v>180702.83</v>
      </c>
      <c r="I313" s="278"/>
      <c r="J313" s="279"/>
      <c r="K313" s="279"/>
    </row>
    <row r="314" spans="1:11" ht="14.5" x14ac:dyDescent="0.35">
      <c r="A314" s="268"/>
      <c r="B314" s="269"/>
      <c r="C314" s="270"/>
      <c r="D314" s="275"/>
      <c r="E314" s="280" t="s">
        <v>661</v>
      </c>
      <c r="F314" s="281"/>
      <c r="G314" s="276"/>
      <c r="H314" s="277">
        <f>K311</f>
        <v>21979.859999999997</v>
      </c>
      <c r="I314" s="278"/>
      <c r="J314" s="279"/>
      <c r="K314" s="279"/>
    </row>
    <row r="315" spans="1:11" ht="14.5" x14ac:dyDescent="0.35">
      <c r="A315" s="268"/>
      <c r="B315" s="269"/>
      <c r="C315" s="270"/>
      <c r="D315" s="341" t="s">
        <v>662</v>
      </c>
      <c r="E315" s="343"/>
      <c r="F315" s="342"/>
      <c r="G315" s="282"/>
      <c r="H315" s="283"/>
      <c r="I315" s="284"/>
      <c r="J315" s="279"/>
      <c r="K315" s="279"/>
    </row>
    <row r="316" spans="1:11" ht="28.5" x14ac:dyDescent="0.35">
      <c r="A316" s="268"/>
      <c r="B316" s="269"/>
      <c r="C316" s="270"/>
      <c r="D316" s="275"/>
      <c r="E316" s="275" t="s">
        <v>663</v>
      </c>
      <c r="F316" s="275"/>
      <c r="G316" s="282"/>
      <c r="H316" s="283">
        <v>8800</v>
      </c>
      <c r="I316" s="284"/>
      <c r="J316" s="279"/>
      <c r="K316" s="279"/>
    </row>
    <row r="317" spans="1:11" ht="20" x14ac:dyDescent="0.4">
      <c r="A317" s="285"/>
      <c r="B317" s="269"/>
      <c r="C317" s="270"/>
      <c r="D317" s="286"/>
      <c r="E317" s="344" t="s">
        <v>664</v>
      </c>
      <c r="F317" s="345"/>
      <c r="G317" s="282"/>
      <c r="H317" s="226">
        <v>100000</v>
      </c>
      <c r="I317" s="274"/>
      <c r="J317" s="279"/>
      <c r="K317" s="279"/>
    </row>
    <row r="318" spans="1:11" ht="28.5" x14ac:dyDescent="0.35">
      <c r="A318" s="268"/>
      <c r="B318" s="269"/>
      <c r="C318" s="270"/>
      <c r="D318" s="286"/>
      <c r="E318" s="286"/>
      <c r="F318" s="275" t="s">
        <v>131</v>
      </c>
      <c r="G318" s="282"/>
      <c r="H318" s="226">
        <f>SUM(H312:H317)</f>
        <v>755831.71265</v>
      </c>
      <c r="I318" s="274"/>
      <c r="J318" s="279"/>
      <c r="K318" s="279"/>
    </row>
    <row r="319" spans="1:11" ht="14.5" x14ac:dyDescent="0.35">
      <c r="A319" s="268"/>
      <c r="B319" s="269"/>
      <c r="C319" s="270"/>
      <c r="D319" s="287"/>
      <c r="E319" s="287"/>
      <c r="F319" s="288"/>
      <c r="G319" s="289"/>
      <c r="H319" s="274"/>
      <c r="I319" s="274"/>
      <c r="J319" s="279"/>
      <c r="K319" s="279"/>
    </row>
    <row r="320" spans="1:11" ht="14.5" x14ac:dyDescent="0.35">
      <c r="A320" s="268"/>
      <c r="B320" s="269"/>
      <c r="C320" s="270"/>
      <c r="D320" s="287" t="s">
        <v>665</v>
      </c>
      <c r="E320" s="268"/>
      <c r="F320" s="268"/>
      <c r="G320" s="289"/>
      <c r="H320" s="284"/>
      <c r="I320" s="284"/>
      <c r="J320" s="279"/>
      <c r="K320" s="279"/>
    </row>
    <row r="321" spans="1:11" ht="140.5" x14ac:dyDescent="0.35">
      <c r="A321" s="268"/>
      <c r="B321" s="269"/>
      <c r="C321" s="270"/>
      <c r="D321" s="290">
        <v>1</v>
      </c>
      <c r="E321" s="268" t="s">
        <v>666</v>
      </c>
      <c r="F321" s="268"/>
      <c r="G321" s="289"/>
      <c r="H321" s="284"/>
      <c r="I321" s="284"/>
      <c r="J321" s="279"/>
      <c r="K321" s="279"/>
    </row>
    <row r="322" spans="1:11" ht="72.5" x14ac:dyDescent="0.35">
      <c r="D322" s="291">
        <v>2</v>
      </c>
      <c r="E322" s="292" t="s">
        <v>667</v>
      </c>
    </row>
    <row r="323" spans="1:11" ht="87" x14ac:dyDescent="0.35">
      <c r="C323" s="77" t="s">
        <v>668</v>
      </c>
      <c r="D323" s="291">
        <v>3</v>
      </c>
      <c r="E323" s="294" t="s">
        <v>669</v>
      </c>
    </row>
    <row r="324" spans="1:11" ht="404" customHeight="1" x14ac:dyDescent="0.35">
      <c r="D324" s="291">
        <v>4</v>
      </c>
      <c r="E324" s="294" t="s">
        <v>670</v>
      </c>
      <c r="F324" s="294" t="s">
        <v>671</v>
      </c>
    </row>
  </sheetData>
  <autoFilter ref="A1:K1" xr:uid="{3A197FEB-4B46-4E35-85C3-B276E00F3186}"/>
  <mergeCells count="43">
    <mergeCell ref="E312:F312"/>
    <mergeCell ref="D315:F315"/>
    <mergeCell ref="E317:F317"/>
    <mergeCell ref="J239:K265"/>
    <mergeCell ref="I257:I259"/>
    <mergeCell ref="J267:K279"/>
    <mergeCell ref="A280:G280"/>
    <mergeCell ref="J281:K308"/>
    <mergeCell ref="D310:F310"/>
    <mergeCell ref="J194:K236"/>
    <mergeCell ref="I201:I205"/>
    <mergeCell ref="I211:I212"/>
    <mergeCell ref="I213:I223"/>
    <mergeCell ref="I224:I231"/>
    <mergeCell ref="I232:I236"/>
    <mergeCell ref="J169:K187"/>
    <mergeCell ref="I170:I175"/>
    <mergeCell ref="I177:I178"/>
    <mergeCell ref="I179:I183"/>
    <mergeCell ref="I184:I185"/>
    <mergeCell ref="I186:I187"/>
    <mergeCell ref="J132:K150"/>
    <mergeCell ref="I135:I136"/>
    <mergeCell ref="J152:K166"/>
    <mergeCell ref="I153:I154"/>
    <mergeCell ref="I156:I158"/>
    <mergeCell ref="I165:I166"/>
    <mergeCell ref="D82:G83"/>
    <mergeCell ref="J85:K106"/>
    <mergeCell ref="I88:I91"/>
    <mergeCell ref="I92:I94"/>
    <mergeCell ref="I97:I101"/>
    <mergeCell ref="I108:I110"/>
    <mergeCell ref="J108:K129"/>
    <mergeCell ref="I111:I112"/>
    <mergeCell ref="I122:I125"/>
    <mergeCell ref="I128:I129"/>
    <mergeCell ref="J2:K21"/>
    <mergeCell ref="I7:I10"/>
    <mergeCell ref="I56:I60"/>
    <mergeCell ref="J56:K83"/>
    <mergeCell ref="I61:I67"/>
    <mergeCell ref="I76:I8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BEB77-5948-4540-B440-E025A4D0C5DA}">
  <sheetPr>
    <pageSetUpPr fitToPage="1"/>
  </sheetPr>
  <dimension ref="B1:AG49"/>
  <sheetViews>
    <sheetView showGridLines="0" zoomScale="80" zoomScaleNormal="80" zoomScaleSheetLayoutView="71" workbookViewId="0">
      <pane xSplit="4" ySplit="4" topLeftCell="E5" activePane="bottomRight" state="frozen"/>
      <selection activeCell="Q22" sqref="Q22"/>
      <selection pane="topRight" activeCell="Q22" sqref="Q22"/>
      <selection pane="bottomLeft" activeCell="Q22" sqref="Q22"/>
      <selection pane="bottomRight" activeCell="S17" sqref="S17"/>
    </sheetView>
  </sheetViews>
  <sheetFormatPr defaultColWidth="8.6640625" defaultRowHeight="14.5" outlineLevelRow="1" outlineLevelCol="1" x14ac:dyDescent="0.35"/>
  <cols>
    <col min="1" max="1" width="1.58203125" style="13" customWidth="1"/>
    <col min="2" max="2" width="1.4140625" style="13" customWidth="1"/>
    <col min="3" max="3" width="3.5" style="13" customWidth="1"/>
    <col min="4" max="4" width="28.58203125" style="13" bestFit="1" customWidth="1"/>
    <col min="5" max="5" width="11.75" style="13" bestFit="1" customWidth="1"/>
    <col min="6" max="6" width="10.83203125" style="13" bestFit="1" customWidth="1"/>
    <col min="7" max="7" width="1.33203125" style="13" customWidth="1"/>
    <col min="8" max="11" width="10.83203125" style="13" customWidth="1"/>
    <col min="12" max="15" width="10.83203125" style="13" hidden="1" customWidth="1" outlineLevel="1"/>
    <col min="16" max="16" width="10.83203125" style="13" customWidth="1" collapsed="1"/>
    <col min="17" max="19" width="10.83203125" style="13" customWidth="1"/>
    <col min="20" max="20" width="1.4140625" style="13" customWidth="1"/>
    <col min="21" max="21" width="11.5" style="13" hidden="1" customWidth="1" outlineLevel="1"/>
    <col min="22" max="22" width="1.58203125" style="13" hidden="1" customWidth="1" outlineLevel="1"/>
    <col min="23" max="23" width="10.08203125" style="13" hidden="1" customWidth="1" outlineLevel="1"/>
    <col min="24" max="24" width="1.4140625" style="13" hidden="1" customWidth="1" outlineLevel="1"/>
    <col min="25" max="25" width="9.58203125" style="13" customWidth="1" collapsed="1"/>
    <col min="26" max="29" width="9.58203125" style="13" customWidth="1"/>
    <col min="30" max="30" width="0.75" style="13" customWidth="1"/>
    <col min="31" max="16384" width="8.6640625" style="13"/>
  </cols>
  <sheetData>
    <row r="1" spans="2:30" ht="18.5" x14ac:dyDescent="0.45">
      <c r="B1" s="12" t="s">
        <v>187</v>
      </c>
    </row>
    <row r="2" spans="2:30" ht="15" thickBot="1" x14ac:dyDescent="0.4">
      <c r="H2" s="16"/>
      <c r="I2" s="16"/>
      <c r="J2" s="16"/>
      <c r="K2" s="16"/>
      <c r="L2" s="16"/>
      <c r="M2" s="16"/>
      <c r="N2" s="16"/>
      <c r="O2" s="16"/>
      <c r="S2" s="17"/>
    </row>
    <row r="3" spans="2:30" ht="16" x14ac:dyDescent="0.5">
      <c r="C3" s="18"/>
      <c r="D3" s="19"/>
      <c r="E3" s="20"/>
      <c r="F3" s="21" t="s">
        <v>60</v>
      </c>
      <c r="H3" s="22" t="s">
        <v>61</v>
      </c>
      <c r="I3" s="22"/>
      <c r="J3" s="22"/>
      <c r="K3" s="22"/>
      <c r="L3" s="23" t="s">
        <v>62</v>
      </c>
      <c r="M3" s="23"/>
      <c r="N3" s="23"/>
      <c r="O3" s="23"/>
      <c r="P3" s="24" t="s">
        <v>63</v>
      </c>
      <c r="Q3" s="24"/>
      <c r="R3" s="24"/>
      <c r="S3" s="24"/>
      <c r="T3" s="25"/>
      <c r="U3" s="26" t="s">
        <v>64</v>
      </c>
      <c r="V3" s="27"/>
      <c r="W3" s="26" t="s">
        <v>65</v>
      </c>
      <c r="X3" s="28"/>
      <c r="Y3" s="29" t="s">
        <v>66</v>
      </c>
      <c r="Z3" s="29"/>
      <c r="AA3" s="29" t="s">
        <v>67</v>
      </c>
      <c r="AB3" s="29"/>
      <c r="AC3" s="29"/>
    </row>
    <row r="4" spans="2:30" ht="16" x14ac:dyDescent="0.5">
      <c r="C4" s="30" t="s">
        <v>68</v>
      </c>
      <c r="D4" s="30" t="s">
        <v>69</v>
      </c>
      <c r="E4" s="30" t="s">
        <v>70</v>
      </c>
      <c r="F4" s="21" t="s">
        <v>71</v>
      </c>
      <c r="G4" s="27"/>
      <c r="H4" s="21" t="s">
        <v>72</v>
      </c>
      <c r="I4" s="21" t="s">
        <v>73</v>
      </c>
      <c r="J4" s="21" t="s">
        <v>74</v>
      </c>
      <c r="K4" s="21" t="s">
        <v>10</v>
      </c>
      <c r="L4" s="31" t="s">
        <v>72</v>
      </c>
      <c r="M4" s="31" t="s">
        <v>73</v>
      </c>
      <c r="N4" s="31" t="s">
        <v>74</v>
      </c>
      <c r="O4" s="31" t="s">
        <v>10</v>
      </c>
      <c r="P4" s="32" t="s">
        <v>72</v>
      </c>
      <c r="Q4" s="32" t="s">
        <v>73</v>
      </c>
      <c r="R4" s="32" t="s">
        <v>74</v>
      </c>
      <c r="S4" s="32" t="s">
        <v>10</v>
      </c>
      <c r="T4" s="25"/>
      <c r="U4" s="33" t="s">
        <v>75</v>
      </c>
      <c r="V4" s="27"/>
      <c r="W4" s="33" t="s">
        <v>76</v>
      </c>
      <c r="X4" s="25"/>
      <c r="Y4" s="29" t="s">
        <v>77</v>
      </c>
      <c r="Z4" s="34" t="s">
        <v>78</v>
      </c>
      <c r="AA4" s="29" t="s">
        <v>79</v>
      </c>
      <c r="AB4" s="34" t="s">
        <v>80</v>
      </c>
      <c r="AC4" s="34" t="s">
        <v>81</v>
      </c>
    </row>
    <row r="5" spans="2:30" x14ac:dyDescent="0.35">
      <c r="C5" s="14"/>
      <c r="U5" s="35"/>
      <c r="W5" s="35"/>
    </row>
    <row r="6" spans="2:30" ht="15.5" x14ac:dyDescent="0.35">
      <c r="C6" s="36">
        <v>1</v>
      </c>
      <c r="D6" s="37" t="s">
        <v>82</v>
      </c>
      <c r="E6" s="38" t="s">
        <v>83</v>
      </c>
      <c r="F6" s="39">
        <f>'Pro Forma Financials'!H16</f>
        <v>591831.71265</v>
      </c>
      <c r="G6" s="39"/>
      <c r="H6" s="39">
        <v>200000</v>
      </c>
      <c r="I6" s="39">
        <v>0</v>
      </c>
      <c r="J6" s="39">
        <v>0</v>
      </c>
      <c r="K6" s="39">
        <f>SUM(H6:J6)</f>
        <v>200000</v>
      </c>
      <c r="L6" s="39">
        <v>0</v>
      </c>
      <c r="M6" s="39">
        <v>0</v>
      </c>
      <c r="N6" s="39">
        <v>0</v>
      </c>
      <c r="O6" s="39">
        <f>SUM(L6:N6)</f>
        <v>0</v>
      </c>
      <c r="P6" s="39">
        <v>200000</v>
      </c>
      <c r="Q6" s="39"/>
      <c r="R6" s="39">
        <f>P6*25%</f>
        <v>50000</v>
      </c>
      <c r="S6" s="39">
        <f>SUM(P6:R6)</f>
        <v>250000</v>
      </c>
      <c r="T6" s="40"/>
      <c r="U6" s="41">
        <f>S6-K6</f>
        <v>50000</v>
      </c>
      <c r="V6" s="42"/>
      <c r="W6" s="41">
        <f>+S6-O6</f>
        <v>250000</v>
      </c>
      <c r="X6" s="40"/>
      <c r="Y6" s="40">
        <f>$AC$34*MIN($S6,$AC$33)</f>
        <v>11439</v>
      </c>
      <c r="Z6" s="40">
        <f>$AC$37*$S6</f>
        <v>3625</v>
      </c>
      <c r="AA6" s="40">
        <f>SUM(Y6:Z6)</f>
        <v>15064</v>
      </c>
      <c r="AB6" s="40">
        <f>$AC$41*MIN(P6+Q6,$AC$40)</f>
        <v>8000</v>
      </c>
      <c r="AC6" s="40">
        <f>IF($S6&gt;0,IF($S$49=1,$S$46,$S$44),0)</f>
        <v>11600</v>
      </c>
      <c r="AD6" s="17"/>
    </row>
    <row r="7" spans="2:30" hidden="1" outlineLevel="1" x14ac:dyDescent="0.35">
      <c r="C7" s="43"/>
      <c r="D7" s="43" t="s">
        <v>84</v>
      </c>
      <c r="E7" s="44"/>
      <c r="F7" s="45">
        <v>0</v>
      </c>
      <c r="G7" s="39"/>
      <c r="H7" s="45">
        <v>0</v>
      </c>
      <c r="I7" s="45">
        <v>0</v>
      </c>
      <c r="J7" s="45">
        <v>0</v>
      </c>
      <c r="K7" s="45"/>
      <c r="L7" s="45">
        <v>0</v>
      </c>
      <c r="M7" s="45">
        <v>0</v>
      </c>
      <c r="N7" s="45">
        <v>0</v>
      </c>
      <c r="O7" s="45">
        <f>SUM(L7:N7)</f>
        <v>0</v>
      </c>
      <c r="P7" s="45">
        <v>0</v>
      </c>
      <c r="Q7" s="45">
        <v>0</v>
      </c>
      <c r="R7" s="45">
        <v>0</v>
      </c>
      <c r="S7" s="45">
        <f>SUM(P7:R7)</f>
        <v>0</v>
      </c>
      <c r="T7" s="40"/>
      <c r="U7" s="46">
        <f>S7-K7</f>
        <v>0</v>
      </c>
      <c r="V7" s="47"/>
      <c r="W7" s="46">
        <f t="shared" ref="W7" si="0">+S7-O7</f>
        <v>0</v>
      </c>
      <c r="X7" s="40"/>
      <c r="Y7" s="48"/>
      <c r="Z7" s="40">
        <f>$AC$37*$S7</f>
        <v>0</v>
      </c>
      <c r="AA7" s="40">
        <f>SUM(Y7:Z7)</f>
        <v>0</v>
      </c>
      <c r="AB7" s="48"/>
      <c r="AC7" s="48"/>
      <c r="AD7" s="17"/>
    </row>
    <row r="8" spans="2:30" s="49" customFormat="1" collapsed="1" x14ac:dyDescent="0.35">
      <c r="C8" s="50" t="s">
        <v>85</v>
      </c>
      <c r="D8" s="50"/>
      <c r="E8" s="51"/>
      <c r="F8" s="52">
        <f>SUM(F6:F7)</f>
        <v>591831.71265</v>
      </c>
      <c r="G8" s="53"/>
      <c r="H8" s="52">
        <f t="shared" ref="H8:S8" si="1">SUM(H6:H7)</f>
        <v>200000</v>
      </c>
      <c r="I8" s="52">
        <f t="shared" si="1"/>
        <v>0</v>
      </c>
      <c r="J8" s="52">
        <f t="shared" si="1"/>
        <v>0</v>
      </c>
      <c r="K8" s="52">
        <f t="shared" si="1"/>
        <v>200000</v>
      </c>
      <c r="L8" s="54">
        <f t="shared" si="1"/>
        <v>0</v>
      </c>
      <c r="M8" s="54">
        <f t="shared" si="1"/>
        <v>0</v>
      </c>
      <c r="N8" s="54">
        <f t="shared" si="1"/>
        <v>0</v>
      </c>
      <c r="O8" s="54">
        <f t="shared" si="1"/>
        <v>0</v>
      </c>
      <c r="P8" s="55">
        <f t="shared" si="1"/>
        <v>200000</v>
      </c>
      <c r="Q8" s="55">
        <f t="shared" si="1"/>
        <v>0</v>
      </c>
      <c r="R8" s="55">
        <f t="shared" si="1"/>
        <v>50000</v>
      </c>
      <c r="S8" s="55">
        <f t="shared" si="1"/>
        <v>250000</v>
      </c>
      <c r="T8" s="56"/>
      <c r="U8" s="57">
        <f>SUM(U6:U7)</f>
        <v>50000</v>
      </c>
      <c r="V8" s="56"/>
      <c r="W8" s="57">
        <f>SUM(W6:W7)</f>
        <v>250000</v>
      </c>
      <c r="X8" s="56"/>
      <c r="Y8" s="58">
        <f>SUM(Y6:Y7)</f>
        <v>11439</v>
      </c>
      <c r="Z8" s="58">
        <f>SUM(Z6:Z7)</f>
        <v>3625</v>
      </c>
      <c r="AA8" s="58">
        <f>SUM(AA6:AA7)</f>
        <v>15064</v>
      </c>
      <c r="AB8" s="58">
        <f>SUM(AB6:AB7)</f>
        <v>8000</v>
      </c>
      <c r="AC8" s="58">
        <f>SUM(AC6:AC7)</f>
        <v>11600</v>
      </c>
      <c r="AD8" s="59"/>
    </row>
    <row r="9" spans="2:30" x14ac:dyDescent="0.35">
      <c r="C9" s="14"/>
      <c r="F9" s="17"/>
      <c r="G9" s="17"/>
      <c r="H9" s="17"/>
      <c r="I9" s="17"/>
      <c r="J9" s="17"/>
      <c r="K9" s="17"/>
      <c r="L9" s="17"/>
      <c r="M9" s="17"/>
      <c r="N9" s="17"/>
      <c r="O9" s="17"/>
      <c r="P9" s="17"/>
      <c r="Q9" s="17"/>
      <c r="R9" s="17"/>
      <c r="S9" s="17"/>
      <c r="T9" s="17"/>
      <c r="U9" s="60"/>
      <c r="V9" s="17"/>
      <c r="W9" s="60"/>
      <c r="X9" s="17"/>
      <c r="Y9" s="17"/>
      <c r="Z9" s="17"/>
      <c r="AA9" s="17"/>
      <c r="AB9" s="17"/>
      <c r="AC9" s="17"/>
      <c r="AD9" s="17"/>
    </row>
    <row r="10" spans="2:30" hidden="1" outlineLevel="1" x14ac:dyDescent="0.35">
      <c r="C10" s="36">
        <f>MAX($C$6:$C9)+1</f>
        <v>2</v>
      </c>
      <c r="E10" s="38"/>
      <c r="F10" s="39">
        <v>0</v>
      </c>
      <c r="G10" s="39"/>
      <c r="H10" s="39">
        <v>0</v>
      </c>
      <c r="I10" s="39">
        <v>0</v>
      </c>
      <c r="J10" s="39">
        <v>0</v>
      </c>
      <c r="K10" s="39">
        <f>SUM(H10:J10)</f>
        <v>0</v>
      </c>
      <c r="L10" s="39">
        <v>0</v>
      </c>
      <c r="M10" s="39">
        <v>0</v>
      </c>
      <c r="N10" s="39">
        <v>0</v>
      </c>
      <c r="O10" s="39">
        <f>SUM(L10:N10)</f>
        <v>0</v>
      </c>
      <c r="P10" s="39">
        <v>0</v>
      </c>
      <c r="Q10" s="39">
        <v>0</v>
      </c>
      <c r="R10" s="39">
        <v>0</v>
      </c>
      <c r="S10" s="39">
        <f>SUM(P10:R10)</f>
        <v>0</v>
      </c>
      <c r="T10" s="40"/>
      <c r="U10" s="41">
        <f t="shared" ref="U10:U14" si="2">S10-K10</f>
        <v>0</v>
      </c>
      <c r="V10" s="42"/>
      <c r="W10" s="41">
        <f t="shared" ref="W10:W14" si="3">+S10-O10</f>
        <v>0</v>
      </c>
      <c r="X10" s="40"/>
      <c r="Y10" s="40">
        <f>$AC$34*MIN($S10,$AC$33)</f>
        <v>0</v>
      </c>
      <c r="Z10" s="40">
        <f>$AC$37*$S10</f>
        <v>0</v>
      </c>
      <c r="AA10" s="40">
        <f>SUM(Y10:Z10)</f>
        <v>0</v>
      </c>
      <c r="AB10" s="40">
        <f>$AC$41*MIN(P10+Q10,$AC$40)</f>
        <v>0</v>
      </c>
      <c r="AC10" s="40">
        <f>IF($S10&gt;0,IF($S$49=1,$S$46,$S$44),0)</f>
        <v>0</v>
      </c>
      <c r="AD10" s="17"/>
    </row>
    <row r="11" spans="2:30" ht="15.5" hidden="1" outlineLevel="1" x14ac:dyDescent="0.35">
      <c r="C11" s="36">
        <f>MAX($C$6:$C10)+1</f>
        <v>3</v>
      </c>
      <c r="D11" s="37"/>
      <c r="E11" s="38"/>
      <c r="F11" s="39">
        <v>0</v>
      </c>
      <c r="G11" s="39"/>
      <c r="H11" s="39">
        <v>0</v>
      </c>
      <c r="I11" s="39">
        <v>0</v>
      </c>
      <c r="J11" s="39">
        <v>0</v>
      </c>
      <c r="K11" s="39">
        <f>SUM(H11:J11)</f>
        <v>0</v>
      </c>
      <c r="L11" s="39">
        <v>0</v>
      </c>
      <c r="M11" s="39">
        <v>0</v>
      </c>
      <c r="N11" s="39">
        <v>0</v>
      </c>
      <c r="O11" s="39">
        <f>SUM(L11:N11)</f>
        <v>0</v>
      </c>
      <c r="P11" s="39">
        <v>0</v>
      </c>
      <c r="Q11" s="39">
        <v>0</v>
      </c>
      <c r="R11" s="39">
        <v>0</v>
      </c>
      <c r="S11" s="39">
        <f>SUM(P11:R11)</f>
        <v>0</v>
      </c>
      <c r="T11" s="40"/>
      <c r="U11" s="41">
        <f t="shared" si="2"/>
        <v>0</v>
      </c>
      <c r="V11" s="42"/>
      <c r="W11" s="41">
        <f t="shared" si="3"/>
        <v>0</v>
      </c>
      <c r="X11" s="40"/>
      <c r="Y11" s="40">
        <f>$AC$34*MIN($S11,$AC$33)</f>
        <v>0</v>
      </c>
      <c r="Z11" s="40">
        <f>$AC$37*$S11</f>
        <v>0</v>
      </c>
      <c r="AA11" s="40">
        <f>SUM(Y11:Z11)</f>
        <v>0</v>
      </c>
      <c r="AB11" s="40">
        <f>$AC$41*MIN(P11+Q11,$AC$40)</f>
        <v>0</v>
      </c>
      <c r="AC11" s="40">
        <f>IF($S11&gt;0,IF($S$49=1,$S$46,$S$44),0)</f>
        <v>0</v>
      </c>
      <c r="AD11" s="17"/>
    </row>
    <row r="12" spans="2:30" ht="15.5" hidden="1" outlineLevel="1" x14ac:dyDescent="0.35">
      <c r="C12" s="36">
        <f>MAX($C$6:$C11)+1</f>
        <v>4</v>
      </c>
      <c r="D12" s="37"/>
      <c r="E12" s="38"/>
      <c r="F12" s="39">
        <v>0</v>
      </c>
      <c r="G12" s="39"/>
      <c r="H12" s="39">
        <v>0</v>
      </c>
      <c r="I12" s="39">
        <v>0</v>
      </c>
      <c r="J12" s="39">
        <v>0</v>
      </c>
      <c r="K12" s="39">
        <f>SUM(H12:J12)</f>
        <v>0</v>
      </c>
      <c r="L12" s="39">
        <v>0</v>
      </c>
      <c r="M12" s="39">
        <v>0</v>
      </c>
      <c r="N12" s="39">
        <v>0</v>
      </c>
      <c r="O12" s="39">
        <f>SUM(L12:N12)</f>
        <v>0</v>
      </c>
      <c r="P12" s="39">
        <v>0</v>
      </c>
      <c r="Q12" s="39">
        <v>0</v>
      </c>
      <c r="R12" s="39">
        <v>0</v>
      </c>
      <c r="S12" s="39">
        <f>SUM(P12:R12)</f>
        <v>0</v>
      </c>
      <c r="T12" s="40"/>
      <c r="U12" s="41">
        <f t="shared" si="2"/>
        <v>0</v>
      </c>
      <c r="V12" s="42"/>
      <c r="W12" s="41">
        <f t="shared" si="3"/>
        <v>0</v>
      </c>
      <c r="X12" s="40"/>
      <c r="Y12" s="40">
        <f>$AC$34*MIN($S12,$AC$33)</f>
        <v>0</v>
      </c>
      <c r="Z12" s="40">
        <f>$AC$37*$S12</f>
        <v>0</v>
      </c>
      <c r="AA12" s="40">
        <f>SUM(Y12:Z12)</f>
        <v>0</v>
      </c>
      <c r="AB12" s="40">
        <f>$AC$41*MIN(P12+Q12,$AC$40)</f>
        <v>0</v>
      </c>
      <c r="AC12" s="40">
        <f>IF($S12&gt;0,IF($S$49=1,$S$46,$S$44),0)</f>
        <v>0</v>
      </c>
      <c r="AD12" s="17"/>
    </row>
    <row r="13" spans="2:30" ht="15.5" hidden="1" outlineLevel="1" x14ac:dyDescent="0.35">
      <c r="C13" s="36">
        <f>MAX($C$6:$C12)+1</f>
        <v>5</v>
      </c>
      <c r="D13" s="37"/>
      <c r="E13" s="38"/>
      <c r="F13" s="39">
        <v>0</v>
      </c>
      <c r="G13" s="39"/>
      <c r="H13" s="39">
        <v>0</v>
      </c>
      <c r="I13" s="39">
        <v>0</v>
      </c>
      <c r="J13" s="39">
        <v>0</v>
      </c>
      <c r="K13" s="39">
        <f>SUM(H13:J13)</f>
        <v>0</v>
      </c>
      <c r="L13" s="39">
        <v>0</v>
      </c>
      <c r="M13" s="39">
        <v>0</v>
      </c>
      <c r="N13" s="39">
        <v>0</v>
      </c>
      <c r="O13" s="39">
        <f>SUM(L13:N13)</f>
        <v>0</v>
      </c>
      <c r="P13" s="39">
        <v>0</v>
      </c>
      <c r="Q13" s="39">
        <v>0</v>
      </c>
      <c r="R13" s="39">
        <v>0</v>
      </c>
      <c r="S13" s="39">
        <f>SUM(P13:R13)</f>
        <v>0</v>
      </c>
      <c r="T13" s="40"/>
      <c r="U13" s="41">
        <f t="shared" si="2"/>
        <v>0</v>
      </c>
      <c r="V13" s="42"/>
      <c r="W13" s="41">
        <f t="shared" si="3"/>
        <v>0</v>
      </c>
      <c r="X13" s="40"/>
      <c r="Y13" s="40">
        <f>$AC$34*MIN($S13,$AC$33)</f>
        <v>0</v>
      </c>
      <c r="Z13" s="40">
        <f>$AC$37*$S13</f>
        <v>0</v>
      </c>
      <c r="AA13" s="40">
        <f>SUM(Y13:Z13)</f>
        <v>0</v>
      </c>
      <c r="AB13" s="40">
        <f>$AC$41*MIN(P13+Q13,$AC$40)</f>
        <v>0</v>
      </c>
      <c r="AC13" s="40">
        <f>IF($S13&gt;0,IF($S$49=1,$S$46,$S$44),0)</f>
        <v>0</v>
      </c>
      <c r="AD13" s="17"/>
    </row>
    <row r="14" spans="2:30" hidden="1" outlineLevel="1" x14ac:dyDescent="0.35">
      <c r="C14" s="61"/>
      <c r="D14" s="43" t="s">
        <v>84</v>
      </c>
      <c r="E14" s="44"/>
      <c r="F14" s="45">
        <v>0</v>
      </c>
      <c r="G14" s="39"/>
      <c r="H14" s="45">
        <v>0</v>
      </c>
      <c r="I14" s="45">
        <v>0</v>
      </c>
      <c r="J14" s="45">
        <v>0</v>
      </c>
      <c r="K14" s="45">
        <f>[1]PF_Schedule!G58-SUM('Employee Roster'!K10:K13)</f>
        <v>0</v>
      </c>
      <c r="L14" s="45">
        <v>0</v>
      </c>
      <c r="M14" s="45">
        <v>0</v>
      </c>
      <c r="N14" s="45">
        <v>0</v>
      </c>
      <c r="O14" s="45">
        <f>SUM(L14:N14)</f>
        <v>0</v>
      </c>
      <c r="P14" s="45">
        <v>0</v>
      </c>
      <c r="Q14" s="45">
        <v>0</v>
      </c>
      <c r="R14" s="45">
        <v>0</v>
      </c>
      <c r="S14" s="45">
        <f>SUM(P14:R14)</f>
        <v>0</v>
      </c>
      <c r="T14" s="40"/>
      <c r="U14" s="46">
        <f t="shared" si="2"/>
        <v>0</v>
      </c>
      <c r="V14" s="47"/>
      <c r="W14" s="46">
        <f t="shared" si="3"/>
        <v>0</v>
      </c>
      <c r="X14" s="40"/>
      <c r="Y14" s="48"/>
      <c r="Z14" s="48"/>
      <c r="AA14" s="48"/>
      <c r="AB14" s="48"/>
      <c r="AC14" s="48"/>
      <c r="AD14" s="17"/>
    </row>
    <row r="15" spans="2:30" s="49" customFormat="1" collapsed="1" x14ac:dyDescent="0.35">
      <c r="C15" s="50" t="s">
        <v>86</v>
      </c>
      <c r="D15" s="50"/>
      <c r="E15" s="62"/>
      <c r="F15" s="52">
        <f>SUM(F10:F14)</f>
        <v>0</v>
      </c>
      <c r="G15" s="53"/>
      <c r="H15" s="52">
        <f t="shared" ref="H15:S15" si="4">SUM(H10:H14)</f>
        <v>0</v>
      </c>
      <c r="I15" s="52">
        <f t="shared" si="4"/>
        <v>0</v>
      </c>
      <c r="J15" s="52">
        <f t="shared" si="4"/>
        <v>0</v>
      </c>
      <c r="K15" s="52">
        <f t="shared" si="4"/>
        <v>0</v>
      </c>
      <c r="L15" s="54">
        <f t="shared" si="4"/>
        <v>0</v>
      </c>
      <c r="M15" s="54">
        <f t="shared" si="4"/>
        <v>0</v>
      </c>
      <c r="N15" s="54">
        <f t="shared" si="4"/>
        <v>0</v>
      </c>
      <c r="O15" s="54">
        <f t="shared" si="4"/>
        <v>0</v>
      </c>
      <c r="P15" s="55">
        <f t="shared" si="4"/>
        <v>0</v>
      </c>
      <c r="Q15" s="55">
        <f t="shared" si="4"/>
        <v>0</v>
      </c>
      <c r="R15" s="55">
        <f t="shared" si="4"/>
        <v>0</v>
      </c>
      <c r="S15" s="55">
        <f t="shared" si="4"/>
        <v>0</v>
      </c>
      <c r="T15" s="56"/>
      <c r="U15" s="57">
        <f>SUM(U10:U14)</f>
        <v>0</v>
      </c>
      <c r="V15" s="56"/>
      <c r="W15" s="57">
        <f>SUM(W10:W14)</f>
        <v>0</v>
      </c>
      <c r="X15" s="56"/>
      <c r="Y15" s="58">
        <f>SUM(Y10:Y14)</f>
        <v>0</v>
      </c>
      <c r="Z15" s="58">
        <f>SUM(Z10:Z14)</f>
        <v>0</v>
      </c>
      <c r="AA15" s="58">
        <f>SUM(AA10:AA14)</f>
        <v>0</v>
      </c>
      <c r="AB15" s="58">
        <f>SUM(AB10:AB14)</f>
        <v>0</v>
      </c>
      <c r="AC15" s="58">
        <f>SUM(AC10:AC14)</f>
        <v>0</v>
      </c>
      <c r="AD15" s="63"/>
    </row>
    <row r="16" spans="2:30" x14ac:dyDescent="0.35">
      <c r="C16" s="14"/>
      <c r="F16" s="17"/>
      <c r="G16" s="17"/>
      <c r="H16" s="17"/>
      <c r="I16" s="17"/>
      <c r="J16" s="17"/>
      <c r="K16" s="17"/>
      <c r="L16" s="17"/>
      <c r="M16" s="17"/>
      <c r="N16" s="17"/>
      <c r="O16" s="17"/>
      <c r="P16" s="17"/>
      <c r="Q16" s="17"/>
      <c r="R16" s="17"/>
      <c r="S16" s="17"/>
      <c r="T16" s="17"/>
      <c r="U16" s="60"/>
      <c r="V16" s="17"/>
      <c r="W16" s="60"/>
      <c r="X16" s="17"/>
      <c r="Y16" s="17"/>
      <c r="Z16" s="17"/>
      <c r="AA16" s="17"/>
      <c r="AB16" s="17"/>
      <c r="AC16" s="17"/>
      <c r="AD16" s="17"/>
    </row>
    <row r="17" spans="3:30" ht="15.5" x14ac:dyDescent="0.35">
      <c r="C17" s="36">
        <v>2</v>
      </c>
      <c r="D17" s="37" t="s">
        <v>87</v>
      </c>
      <c r="E17" s="38" t="s">
        <v>88</v>
      </c>
      <c r="F17" s="39">
        <v>0</v>
      </c>
      <c r="G17" s="39"/>
      <c r="H17" s="39">
        <v>60000</v>
      </c>
      <c r="I17" s="39">
        <v>0</v>
      </c>
      <c r="J17" s="39">
        <v>0</v>
      </c>
      <c r="K17" s="39">
        <f t="shared" ref="K17:K22" si="5">SUM(H17:J17)</f>
        <v>60000</v>
      </c>
      <c r="L17" s="39">
        <v>0</v>
      </c>
      <c r="M17" s="39">
        <v>0</v>
      </c>
      <c r="N17" s="39">
        <v>0</v>
      </c>
      <c r="O17" s="39">
        <f>SUM(L17:N17)</f>
        <v>0</v>
      </c>
      <c r="P17" s="39">
        <f>+H17</f>
        <v>60000</v>
      </c>
      <c r="Q17" s="39">
        <v>0</v>
      </c>
      <c r="R17" s="39">
        <f>+P17*0.05</f>
        <v>3000</v>
      </c>
      <c r="S17" s="39">
        <f t="shared" ref="S17:S22" si="6">SUM(P17:R17)</f>
        <v>63000</v>
      </c>
      <c r="U17" s="41">
        <f t="shared" ref="U17:U23" si="7">S17-K17</f>
        <v>3000</v>
      </c>
      <c r="V17" s="42"/>
      <c r="W17" s="41">
        <f t="shared" ref="W17:W23" si="8">+S17-O17</f>
        <v>63000</v>
      </c>
      <c r="X17" s="40"/>
      <c r="Y17" s="40">
        <f t="shared" ref="Y17:Y22" si="9">$AC$34*MIN($S17,$AC$33)</f>
        <v>3906</v>
      </c>
      <c r="Z17" s="40">
        <f t="shared" ref="Z17:Z22" si="10">$AC$37*$S17</f>
        <v>913.5</v>
      </c>
      <c r="AA17" s="40">
        <f t="shared" ref="AA17:AA22" si="11">SUM(Y17:Z17)</f>
        <v>4819.5</v>
      </c>
      <c r="AB17" s="40">
        <f t="shared" ref="AB17:AB22" si="12">$AC$41*MIN(P17+Q17,$AC$40)</f>
        <v>2400</v>
      </c>
      <c r="AC17" s="40">
        <f t="shared" ref="AC17:AC22" si="13">IF($S17&gt;0,IF($S$49=1,$S$46,$S$44),0)</f>
        <v>11600</v>
      </c>
    </row>
    <row r="18" spans="3:30" x14ac:dyDescent="0.35">
      <c r="C18" s="112">
        <v>3</v>
      </c>
      <c r="D18" s="14" t="s">
        <v>89</v>
      </c>
      <c r="E18" s="38" t="s">
        <v>88</v>
      </c>
      <c r="F18" s="64">
        <v>0</v>
      </c>
      <c r="G18" s="65"/>
      <c r="H18" s="65">
        <v>45000</v>
      </c>
      <c r="I18" s="65">
        <v>0</v>
      </c>
      <c r="J18" s="65">
        <v>0</v>
      </c>
      <c r="K18" s="65">
        <f t="shared" si="5"/>
        <v>45000</v>
      </c>
      <c r="L18" s="65">
        <v>0</v>
      </c>
      <c r="M18" s="65">
        <v>0</v>
      </c>
      <c r="N18" s="65">
        <v>0</v>
      </c>
      <c r="O18" s="65">
        <f t="shared" ref="O18:O23" si="14">SUM(L18:N18)</f>
        <v>0</v>
      </c>
      <c r="P18" s="314">
        <f>H18</f>
        <v>45000</v>
      </c>
      <c r="Q18" s="113">
        <v>0</v>
      </c>
      <c r="R18" s="113">
        <f>+P18*0.05</f>
        <v>2250</v>
      </c>
      <c r="S18" s="113">
        <f t="shared" si="6"/>
        <v>47250</v>
      </c>
      <c r="T18" s="40"/>
      <c r="U18" s="41">
        <f t="shared" si="7"/>
        <v>2250</v>
      </c>
      <c r="V18" s="42"/>
      <c r="W18" s="41">
        <f t="shared" si="8"/>
        <v>47250</v>
      </c>
      <c r="X18" s="40"/>
      <c r="Y18" s="40">
        <f t="shared" si="9"/>
        <v>2929.5</v>
      </c>
      <c r="Z18" s="40">
        <f t="shared" si="10"/>
        <v>685.125</v>
      </c>
      <c r="AA18" s="40">
        <f t="shared" si="11"/>
        <v>3614.625</v>
      </c>
      <c r="AB18" s="40">
        <f t="shared" si="12"/>
        <v>1800</v>
      </c>
      <c r="AC18" s="40">
        <f t="shared" si="13"/>
        <v>11600</v>
      </c>
      <c r="AD18" s="17"/>
    </row>
    <row r="19" spans="3:30" hidden="1" outlineLevel="1" x14ac:dyDescent="0.35">
      <c r="C19" s="36">
        <f>MAX($C$6:$C18)+1</f>
        <v>6</v>
      </c>
      <c r="E19" s="38"/>
      <c r="F19" s="39">
        <v>0</v>
      </c>
      <c r="G19" s="39"/>
      <c r="H19" s="39">
        <v>0</v>
      </c>
      <c r="I19" s="39">
        <v>0</v>
      </c>
      <c r="J19" s="39">
        <v>0</v>
      </c>
      <c r="K19" s="39">
        <f t="shared" si="5"/>
        <v>0</v>
      </c>
      <c r="L19" s="39">
        <v>0</v>
      </c>
      <c r="M19" s="39">
        <v>0</v>
      </c>
      <c r="N19" s="39">
        <v>0</v>
      </c>
      <c r="O19" s="39">
        <f t="shared" si="14"/>
        <v>0</v>
      </c>
      <c r="P19" s="39">
        <v>0</v>
      </c>
      <c r="Q19" s="39">
        <v>0</v>
      </c>
      <c r="R19" s="39">
        <v>0</v>
      </c>
      <c r="S19" s="39">
        <f t="shared" si="6"/>
        <v>0</v>
      </c>
      <c r="T19" s="40"/>
      <c r="U19" s="41">
        <f t="shared" si="7"/>
        <v>0</v>
      </c>
      <c r="V19" s="42"/>
      <c r="W19" s="41">
        <f t="shared" si="8"/>
        <v>0</v>
      </c>
      <c r="X19" s="40"/>
      <c r="Y19" s="40">
        <f t="shared" si="9"/>
        <v>0</v>
      </c>
      <c r="Z19" s="40">
        <f t="shared" si="10"/>
        <v>0</v>
      </c>
      <c r="AA19" s="40">
        <f t="shared" si="11"/>
        <v>0</v>
      </c>
      <c r="AB19" s="40">
        <f t="shared" si="12"/>
        <v>0</v>
      </c>
      <c r="AC19" s="40">
        <f t="shared" si="13"/>
        <v>0</v>
      </c>
      <c r="AD19" s="17"/>
    </row>
    <row r="20" spans="3:30" ht="15.5" hidden="1" outlineLevel="1" x14ac:dyDescent="0.35">
      <c r="C20" s="36">
        <f>MAX($C$6:$C19)+1</f>
        <v>7</v>
      </c>
      <c r="D20" s="37"/>
      <c r="E20" s="38"/>
      <c r="F20" s="39">
        <v>0</v>
      </c>
      <c r="G20" s="39"/>
      <c r="H20" s="39">
        <v>0</v>
      </c>
      <c r="I20" s="39">
        <v>0</v>
      </c>
      <c r="J20" s="39">
        <v>0</v>
      </c>
      <c r="K20" s="39">
        <f t="shared" si="5"/>
        <v>0</v>
      </c>
      <c r="L20" s="39">
        <v>0</v>
      </c>
      <c r="M20" s="39">
        <v>0</v>
      </c>
      <c r="N20" s="39">
        <v>0</v>
      </c>
      <c r="O20" s="39">
        <f t="shared" si="14"/>
        <v>0</v>
      </c>
      <c r="P20" s="39">
        <v>0</v>
      </c>
      <c r="Q20" s="39">
        <v>0</v>
      </c>
      <c r="R20" s="39">
        <v>0</v>
      </c>
      <c r="S20" s="39">
        <f t="shared" si="6"/>
        <v>0</v>
      </c>
      <c r="T20" s="40"/>
      <c r="U20" s="41">
        <f t="shared" si="7"/>
        <v>0</v>
      </c>
      <c r="V20" s="42"/>
      <c r="W20" s="41">
        <f t="shared" si="8"/>
        <v>0</v>
      </c>
      <c r="X20" s="40"/>
      <c r="Y20" s="40">
        <f t="shared" si="9"/>
        <v>0</v>
      </c>
      <c r="Z20" s="40">
        <f t="shared" si="10"/>
        <v>0</v>
      </c>
      <c r="AA20" s="40">
        <f t="shared" si="11"/>
        <v>0</v>
      </c>
      <c r="AB20" s="40">
        <f t="shared" si="12"/>
        <v>0</v>
      </c>
      <c r="AC20" s="40">
        <f t="shared" si="13"/>
        <v>0</v>
      </c>
      <c r="AD20" s="17"/>
    </row>
    <row r="21" spans="3:30" hidden="1" outlineLevel="1" x14ac:dyDescent="0.35">
      <c r="C21" s="36">
        <f>MAX($C$6:$C20)+1</f>
        <v>8</v>
      </c>
      <c r="E21" s="38"/>
      <c r="F21" s="39">
        <v>0</v>
      </c>
      <c r="G21" s="39"/>
      <c r="H21" s="39">
        <v>0</v>
      </c>
      <c r="I21" s="39">
        <v>0</v>
      </c>
      <c r="J21" s="39">
        <v>0</v>
      </c>
      <c r="K21" s="39">
        <f t="shared" si="5"/>
        <v>0</v>
      </c>
      <c r="L21" s="39">
        <v>0</v>
      </c>
      <c r="M21" s="39">
        <v>0</v>
      </c>
      <c r="N21" s="39">
        <v>0</v>
      </c>
      <c r="O21" s="39">
        <f t="shared" si="14"/>
        <v>0</v>
      </c>
      <c r="P21" s="39">
        <v>0</v>
      </c>
      <c r="Q21" s="39">
        <v>0</v>
      </c>
      <c r="R21" s="39">
        <v>0</v>
      </c>
      <c r="S21" s="39">
        <f t="shared" si="6"/>
        <v>0</v>
      </c>
      <c r="U21" s="41">
        <f t="shared" si="7"/>
        <v>0</v>
      </c>
      <c r="V21" s="42"/>
      <c r="W21" s="41">
        <f t="shared" si="8"/>
        <v>0</v>
      </c>
      <c r="X21" s="40"/>
      <c r="Y21" s="40">
        <f t="shared" si="9"/>
        <v>0</v>
      </c>
      <c r="Z21" s="40">
        <f t="shared" si="10"/>
        <v>0</v>
      </c>
      <c r="AA21" s="40">
        <f t="shared" si="11"/>
        <v>0</v>
      </c>
      <c r="AB21" s="40">
        <f t="shared" si="12"/>
        <v>0</v>
      </c>
      <c r="AC21" s="40">
        <f t="shared" si="13"/>
        <v>0</v>
      </c>
    </row>
    <row r="22" spans="3:30" ht="15.5" hidden="1" outlineLevel="1" x14ac:dyDescent="0.35">
      <c r="C22" s="36">
        <f>MAX($C$6:$C21)+1</f>
        <v>9</v>
      </c>
      <c r="D22" s="37"/>
      <c r="E22" s="66" t="s">
        <v>90</v>
      </c>
      <c r="F22" s="39">
        <v>0</v>
      </c>
      <c r="G22" s="39"/>
      <c r="H22" s="39">
        <v>0</v>
      </c>
      <c r="I22" s="39">
        <v>0</v>
      </c>
      <c r="J22" s="39">
        <v>0</v>
      </c>
      <c r="K22" s="39">
        <f t="shared" si="5"/>
        <v>0</v>
      </c>
      <c r="L22" s="39">
        <v>0</v>
      </c>
      <c r="M22" s="39">
        <v>0</v>
      </c>
      <c r="N22" s="39">
        <v>0</v>
      </c>
      <c r="O22" s="39">
        <f t="shared" si="14"/>
        <v>0</v>
      </c>
      <c r="P22" s="39">
        <v>0</v>
      </c>
      <c r="Q22" s="39">
        <v>0</v>
      </c>
      <c r="R22" s="39">
        <v>0</v>
      </c>
      <c r="S22" s="39">
        <f t="shared" si="6"/>
        <v>0</v>
      </c>
      <c r="T22" s="40"/>
      <c r="U22" s="41">
        <f t="shared" si="7"/>
        <v>0</v>
      </c>
      <c r="V22" s="42"/>
      <c r="W22" s="41">
        <f t="shared" si="8"/>
        <v>0</v>
      </c>
      <c r="X22" s="40"/>
      <c r="Y22" s="40">
        <f t="shared" si="9"/>
        <v>0</v>
      </c>
      <c r="Z22" s="40">
        <f t="shared" si="10"/>
        <v>0</v>
      </c>
      <c r="AA22" s="40">
        <f t="shared" si="11"/>
        <v>0</v>
      </c>
      <c r="AB22" s="40">
        <f t="shared" si="12"/>
        <v>0</v>
      </c>
      <c r="AC22" s="40">
        <f t="shared" si="13"/>
        <v>0</v>
      </c>
      <c r="AD22" s="17"/>
    </row>
    <row r="23" spans="3:30" collapsed="1" x14ac:dyDescent="0.35">
      <c r="C23" s="61"/>
      <c r="D23" s="67" t="s">
        <v>91</v>
      </c>
      <c r="E23" s="44"/>
      <c r="F23" s="45">
        <v>0</v>
      </c>
      <c r="G23" s="39"/>
      <c r="H23" s="45">
        <v>0</v>
      </c>
      <c r="I23" s="45">
        <v>0</v>
      </c>
      <c r="J23" s="45">
        <v>0</v>
      </c>
      <c r="K23" s="45"/>
      <c r="L23" s="45">
        <v>0</v>
      </c>
      <c r="M23" s="45">
        <v>0</v>
      </c>
      <c r="N23" s="45">
        <v>0</v>
      </c>
      <c r="O23" s="45">
        <f t="shared" si="14"/>
        <v>0</v>
      </c>
      <c r="P23" s="45">
        <v>0</v>
      </c>
      <c r="Q23" s="45">
        <v>0</v>
      </c>
      <c r="R23" s="45">
        <v>0</v>
      </c>
      <c r="S23" s="45">
        <f>SUM(P23:R23)</f>
        <v>0</v>
      </c>
      <c r="T23" s="40"/>
      <c r="U23" s="46">
        <f t="shared" si="7"/>
        <v>0</v>
      </c>
      <c r="V23" s="47"/>
      <c r="W23" s="46">
        <f t="shared" si="8"/>
        <v>0</v>
      </c>
      <c r="X23" s="40"/>
      <c r="Y23" s="48"/>
      <c r="Z23" s="48"/>
      <c r="AA23" s="48"/>
      <c r="AB23" s="48"/>
      <c r="AC23" s="48"/>
      <c r="AD23" s="17"/>
    </row>
    <row r="24" spans="3:30" s="49" customFormat="1" x14ac:dyDescent="0.35">
      <c r="C24" s="50" t="s">
        <v>92</v>
      </c>
      <c r="D24" s="50"/>
      <c r="E24" s="62"/>
      <c r="F24" s="52">
        <f>SUM(F17:F23)</f>
        <v>0</v>
      </c>
      <c r="G24" s="53"/>
      <c r="H24" s="52">
        <f t="shared" ref="H24:S24" si="15">SUM(H17:H23)</f>
        <v>105000</v>
      </c>
      <c r="I24" s="52">
        <f t="shared" si="15"/>
        <v>0</v>
      </c>
      <c r="J24" s="52">
        <f t="shared" si="15"/>
        <v>0</v>
      </c>
      <c r="K24" s="52">
        <f t="shared" si="15"/>
        <v>105000</v>
      </c>
      <c r="L24" s="54">
        <f t="shared" si="15"/>
        <v>0</v>
      </c>
      <c r="M24" s="54">
        <f t="shared" si="15"/>
        <v>0</v>
      </c>
      <c r="N24" s="54">
        <f t="shared" si="15"/>
        <v>0</v>
      </c>
      <c r="O24" s="54">
        <f t="shared" si="15"/>
        <v>0</v>
      </c>
      <c r="P24" s="55">
        <f t="shared" si="15"/>
        <v>105000</v>
      </c>
      <c r="Q24" s="55">
        <f t="shared" si="15"/>
        <v>0</v>
      </c>
      <c r="R24" s="55">
        <f t="shared" si="15"/>
        <v>5250</v>
      </c>
      <c r="S24" s="55">
        <f t="shared" si="15"/>
        <v>110250</v>
      </c>
      <c r="T24" s="56"/>
      <c r="U24" s="57">
        <f>SUM(U17:U23)</f>
        <v>5250</v>
      </c>
      <c r="V24" s="56"/>
      <c r="W24" s="57">
        <f>SUM(W17:W23)</f>
        <v>110250</v>
      </c>
      <c r="X24" s="56"/>
      <c r="Y24" s="58">
        <f>SUM(Y17:Y23)</f>
        <v>6835.5</v>
      </c>
      <c r="Z24" s="58">
        <f>SUM(Z17:Z23)</f>
        <v>1598.625</v>
      </c>
      <c r="AA24" s="58">
        <f>SUM(AA17:AA23)</f>
        <v>8434.125</v>
      </c>
      <c r="AB24" s="58">
        <f>SUM(AB17:AB23)</f>
        <v>4200</v>
      </c>
      <c r="AC24" s="58">
        <f>SUM(AC17:AC23)</f>
        <v>23200</v>
      </c>
      <c r="AD24" s="63"/>
    </row>
    <row r="25" spans="3:30" x14ac:dyDescent="0.35">
      <c r="F25" s="17"/>
      <c r="G25" s="17"/>
      <c r="H25" s="17"/>
      <c r="I25" s="17"/>
      <c r="J25" s="17"/>
      <c r="K25" s="17"/>
      <c r="L25" s="17"/>
      <c r="M25" s="17"/>
      <c r="N25" s="17"/>
      <c r="O25" s="17"/>
      <c r="P25" s="17"/>
      <c r="Q25" s="17"/>
      <c r="R25" s="17"/>
      <c r="S25" s="17"/>
      <c r="T25" s="17"/>
      <c r="U25" s="60"/>
      <c r="V25" s="17"/>
      <c r="W25" s="60"/>
      <c r="X25" s="17"/>
      <c r="Y25" s="17"/>
      <c r="Z25" s="17"/>
      <c r="AA25" s="17"/>
      <c r="AB25" s="17"/>
      <c r="AC25" s="17"/>
      <c r="AD25" s="17"/>
    </row>
    <row r="26" spans="3:30" s="49" customFormat="1" ht="15" thickBot="1" x14ac:dyDescent="0.4">
      <c r="C26" s="50" t="s">
        <v>93</v>
      </c>
      <c r="D26" s="50"/>
      <c r="E26" s="62"/>
      <c r="F26" s="52">
        <f>F8+F15+F24</f>
        <v>591831.71265</v>
      </c>
      <c r="G26" s="53"/>
      <c r="H26" s="52">
        <f t="shared" ref="H26:S26" si="16">H8+H15+H24</f>
        <v>305000</v>
      </c>
      <c r="I26" s="52">
        <f t="shared" si="16"/>
        <v>0</v>
      </c>
      <c r="J26" s="52">
        <f t="shared" si="16"/>
        <v>0</v>
      </c>
      <c r="K26" s="52">
        <f t="shared" si="16"/>
        <v>305000</v>
      </c>
      <c r="L26" s="54">
        <f t="shared" si="16"/>
        <v>0</v>
      </c>
      <c r="M26" s="54">
        <f t="shared" si="16"/>
        <v>0</v>
      </c>
      <c r="N26" s="54">
        <f t="shared" si="16"/>
        <v>0</v>
      </c>
      <c r="O26" s="54">
        <f t="shared" si="16"/>
        <v>0</v>
      </c>
      <c r="P26" s="55">
        <f t="shared" si="16"/>
        <v>305000</v>
      </c>
      <c r="Q26" s="55">
        <f t="shared" si="16"/>
        <v>0</v>
      </c>
      <c r="R26" s="55">
        <f t="shared" si="16"/>
        <v>55250</v>
      </c>
      <c r="S26" s="55">
        <f t="shared" si="16"/>
        <v>360250</v>
      </c>
      <c r="T26" s="56"/>
      <c r="U26" s="68">
        <f>U8+U15+U24</f>
        <v>55250</v>
      </c>
      <c r="V26" s="56"/>
      <c r="W26" s="68">
        <f>W8+W15+W24</f>
        <v>360250</v>
      </c>
      <c r="X26" s="56"/>
      <c r="Y26" s="58">
        <f>Y8+Y15+Y24</f>
        <v>18274.5</v>
      </c>
      <c r="Z26" s="58">
        <f>Z8+Z15+Z24</f>
        <v>5223.625</v>
      </c>
      <c r="AA26" s="58">
        <f>AA8+AA15+AA24</f>
        <v>23498.125</v>
      </c>
      <c r="AB26" s="58">
        <f>AB8+AB15+AB24</f>
        <v>12200</v>
      </c>
      <c r="AC26" s="58">
        <f>AC8+AC15+AC24</f>
        <v>34800</v>
      </c>
      <c r="AD26" s="63"/>
    </row>
    <row r="27" spans="3:30" s="73" customFormat="1" x14ac:dyDescent="0.35">
      <c r="C27" s="69"/>
      <c r="D27" s="69"/>
      <c r="E27" s="70"/>
      <c r="F27" s="71"/>
      <c r="G27" s="71"/>
      <c r="H27" s="71"/>
      <c r="I27" s="71"/>
      <c r="J27" s="71"/>
      <c r="K27" s="71"/>
      <c r="L27" s="71"/>
      <c r="M27" s="71"/>
      <c r="N27" s="71"/>
      <c r="O27" s="71"/>
      <c r="P27" s="71"/>
      <c r="Q27" s="71"/>
      <c r="R27" s="71"/>
      <c r="S27" s="71"/>
      <c r="T27" s="71"/>
      <c r="U27" s="71"/>
      <c r="V27" s="71"/>
      <c r="W27" s="71"/>
      <c r="X27" s="71"/>
      <c r="Y27" s="71"/>
      <c r="Z27" s="71"/>
      <c r="AA27" s="71"/>
      <c r="AB27" s="71"/>
      <c r="AC27" s="71"/>
      <c r="AD27" s="72"/>
    </row>
    <row r="28" spans="3:30" s="77" customFormat="1" ht="15.5" x14ac:dyDescent="0.35">
      <c r="C28" s="74" t="s">
        <v>94</v>
      </c>
      <c r="D28" s="75"/>
      <c r="E28" s="75"/>
      <c r="F28" s="76">
        <f>'Pro Forma Financials'!H11</f>
        <v>591831.71265</v>
      </c>
      <c r="H28" s="78"/>
      <c r="I28" s="79"/>
      <c r="J28" s="79"/>
      <c r="K28" s="80">
        <f>'Pro Forma Financials'!C40</f>
        <v>308250.30000000005</v>
      </c>
      <c r="L28" s="78"/>
      <c r="M28" s="79"/>
      <c r="N28" s="79"/>
      <c r="O28" s="45"/>
      <c r="P28" s="45"/>
      <c r="Q28" s="45"/>
      <c r="R28" s="45"/>
      <c r="S28" s="81">
        <f>S26</f>
        <v>360250</v>
      </c>
      <c r="Y28" s="75"/>
      <c r="Z28" s="75"/>
      <c r="AA28" s="82">
        <f>'Pro Forma Financials'!H49</f>
        <v>23498.125</v>
      </c>
      <c r="AB28" s="82">
        <f>'Pro Forma Financials'!H54</f>
        <v>12200</v>
      </c>
      <c r="AC28" s="82">
        <f>'Pro Forma Financials'!H44</f>
        <v>34800</v>
      </c>
    </row>
    <row r="29" spans="3:30" s="77" customFormat="1" ht="15.5" x14ac:dyDescent="0.35">
      <c r="C29" s="74" t="s">
        <v>64</v>
      </c>
      <c r="D29" s="75"/>
      <c r="E29" s="75"/>
      <c r="F29" s="83">
        <f>+F26-F28</f>
        <v>0</v>
      </c>
      <c r="H29" s="78"/>
      <c r="I29" s="79"/>
      <c r="J29" s="79"/>
      <c r="K29" s="45">
        <f>+K26-K28</f>
        <v>-3250.3000000000466</v>
      </c>
      <c r="L29" s="78"/>
      <c r="M29" s="79"/>
      <c r="N29" s="79"/>
      <c r="O29" s="45">
        <f>+O26-O28</f>
        <v>0</v>
      </c>
      <c r="P29" s="45"/>
      <c r="Q29" s="45"/>
      <c r="R29" s="45"/>
      <c r="S29" s="45">
        <f>+S26-S28</f>
        <v>0</v>
      </c>
      <c r="Y29" s="75"/>
      <c r="Z29" s="75"/>
      <c r="AA29" s="83">
        <f>+AA26-AA28</f>
        <v>0</v>
      </c>
      <c r="AB29" s="83">
        <f t="shared" ref="AB29:AC29" si="17">+AB26-AB28</f>
        <v>0</v>
      </c>
      <c r="AC29" s="83">
        <f t="shared" si="17"/>
        <v>0</v>
      </c>
    </row>
    <row r="30" spans="3:30" s="77" customFormat="1" ht="15" thickBot="1" x14ac:dyDescent="0.4">
      <c r="F30" s="84"/>
      <c r="H30" s="85"/>
      <c r="I30" s="85"/>
      <c r="J30" s="85"/>
      <c r="K30" s="86"/>
      <c r="L30" s="85"/>
      <c r="M30" s="85"/>
      <c r="N30" s="85"/>
      <c r="O30" s="86"/>
    </row>
    <row r="31" spans="3:30" x14ac:dyDescent="0.35">
      <c r="F31" s="17"/>
      <c r="H31" s="16"/>
      <c r="I31" s="16"/>
      <c r="J31" s="16"/>
      <c r="K31" s="16"/>
      <c r="L31" s="16"/>
      <c r="M31" s="16"/>
      <c r="N31" s="16"/>
      <c r="O31" s="16"/>
      <c r="P31" s="87" t="s">
        <v>95</v>
      </c>
      <c r="Q31" s="88"/>
      <c r="R31" s="88"/>
      <c r="S31" s="89"/>
      <c r="Y31" s="87" t="s">
        <v>96</v>
      </c>
      <c r="Z31" s="88"/>
      <c r="AA31" s="88"/>
      <c r="AB31" s="88"/>
      <c r="AC31" s="89"/>
    </row>
    <row r="32" spans="3:30" x14ac:dyDescent="0.35">
      <c r="H32" s="16"/>
      <c r="I32" s="16"/>
      <c r="J32" s="16"/>
      <c r="K32" s="16"/>
      <c r="L32" s="16"/>
      <c r="M32" s="16"/>
      <c r="N32" s="16"/>
      <c r="O32" s="16"/>
      <c r="P32" s="90" t="s">
        <v>97</v>
      </c>
      <c r="S32" s="91"/>
      <c r="Y32" s="90" t="s">
        <v>98</v>
      </c>
      <c r="AC32" s="91"/>
      <c r="AD32" s="92"/>
    </row>
    <row r="33" spans="8:33" x14ac:dyDescent="0.35">
      <c r="H33" s="16"/>
      <c r="I33" s="16"/>
      <c r="J33" s="16"/>
      <c r="K33" s="16"/>
      <c r="L33" s="16"/>
      <c r="M33" s="16"/>
      <c r="N33" s="16"/>
      <c r="O33" s="16"/>
      <c r="P33" s="93" t="s">
        <v>99</v>
      </c>
      <c r="S33" s="94">
        <v>0.1</v>
      </c>
      <c r="Y33" s="93" t="s">
        <v>100</v>
      </c>
      <c r="AC33" s="95">
        <v>184500</v>
      </c>
      <c r="AF33" s="17"/>
      <c r="AG33" s="92"/>
    </row>
    <row r="34" spans="8:33" x14ac:dyDescent="0.35">
      <c r="H34" s="16"/>
      <c r="I34" s="16"/>
      <c r="J34" s="16"/>
      <c r="K34" s="16"/>
      <c r="L34" s="16"/>
      <c r="M34" s="16"/>
      <c r="N34" s="16"/>
      <c r="O34" s="16"/>
      <c r="P34" s="93" t="s">
        <v>101</v>
      </c>
      <c r="S34" s="94">
        <v>0.9</v>
      </c>
      <c r="Y34" s="93" t="s">
        <v>102</v>
      </c>
      <c r="AC34" s="94">
        <v>6.2E-2</v>
      </c>
    </row>
    <row r="35" spans="8:33" x14ac:dyDescent="0.35">
      <c r="H35" s="16"/>
      <c r="I35" s="16"/>
      <c r="J35" s="16"/>
      <c r="K35" s="16"/>
      <c r="L35" s="16"/>
      <c r="M35" s="16"/>
      <c r="N35" s="16"/>
      <c r="O35" s="16"/>
      <c r="P35" s="93"/>
      <c r="S35" s="96"/>
      <c r="Y35" s="93"/>
      <c r="AC35" s="91"/>
    </row>
    <row r="36" spans="8:33" x14ac:dyDescent="0.35">
      <c r="H36" s="16"/>
      <c r="I36" s="16"/>
      <c r="J36" s="16"/>
      <c r="K36" s="16"/>
      <c r="L36" s="16"/>
      <c r="M36" s="16"/>
      <c r="N36" s="16"/>
      <c r="O36" s="16"/>
      <c r="P36" s="90" t="s">
        <v>103</v>
      </c>
      <c r="S36" s="96"/>
      <c r="Y36" s="90" t="s">
        <v>78</v>
      </c>
      <c r="AC36" s="91"/>
    </row>
    <row r="37" spans="8:33" x14ac:dyDescent="0.35">
      <c r="H37" s="16"/>
      <c r="I37" s="16"/>
      <c r="J37" s="16"/>
      <c r="K37" s="16"/>
      <c r="L37" s="16"/>
      <c r="M37" s="16"/>
      <c r="N37" s="16"/>
      <c r="O37" s="16"/>
      <c r="P37" s="93" t="s">
        <v>104</v>
      </c>
      <c r="S37" s="94">
        <v>0.4</v>
      </c>
      <c r="Y37" s="93" t="s">
        <v>105</v>
      </c>
      <c r="AC37" s="97">
        <v>1.4500000000000001E-2</v>
      </c>
    </row>
    <row r="38" spans="8:33" x14ac:dyDescent="0.35">
      <c r="H38" s="16"/>
      <c r="I38" s="16"/>
      <c r="J38" s="16"/>
      <c r="K38" s="16"/>
      <c r="L38" s="16"/>
      <c r="M38" s="16"/>
      <c r="N38" s="16"/>
      <c r="O38" s="16"/>
      <c r="P38" s="93" t="s">
        <v>106</v>
      </c>
      <c r="S38" s="98">
        <v>0.25</v>
      </c>
      <c r="Y38" s="93"/>
      <c r="AC38" s="91"/>
    </row>
    <row r="39" spans="8:33" ht="15" thickBot="1" x14ac:dyDescent="0.4">
      <c r="H39" s="16"/>
      <c r="I39" s="16"/>
      <c r="J39" s="16"/>
      <c r="K39" s="16"/>
      <c r="L39" s="16"/>
      <c r="M39" s="16"/>
      <c r="N39" s="16"/>
      <c r="O39" s="16"/>
      <c r="P39" s="99" t="s">
        <v>107</v>
      </c>
      <c r="Q39" s="100"/>
      <c r="R39" s="100"/>
      <c r="S39" s="101">
        <f>SUMPRODUCT(S33:S34,S37:S38)</f>
        <v>0.26500000000000001</v>
      </c>
      <c r="Y39" s="90" t="s">
        <v>80</v>
      </c>
      <c r="AC39" s="91"/>
    </row>
    <row r="40" spans="8:33" ht="15" thickBot="1" x14ac:dyDescent="0.4">
      <c r="H40" s="16"/>
      <c r="I40" s="16"/>
      <c r="J40" s="16"/>
      <c r="K40" s="16"/>
      <c r="L40" s="16"/>
      <c r="M40" s="16"/>
      <c r="N40" s="16"/>
      <c r="O40" s="16"/>
      <c r="S40" s="102"/>
      <c r="Y40" s="93" t="s">
        <v>100</v>
      </c>
      <c r="AC40" s="95">
        <v>360000</v>
      </c>
    </row>
    <row r="41" spans="8:33" x14ac:dyDescent="0.35">
      <c r="H41" s="16"/>
      <c r="I41" s="16"/>
      <c r="J41" s="16"/>
      <c r="K41" s="16"/>
      <c r="L41" s="16"/>
      <c r="M41" s="16"/>
      <c r="N41" s="16"/>
      <c r="O41" s="16"/>
      <c r="P41" s="87" t="s">
        <v>108</v>
      </c>
      <c r="Q41" s="88"/>
      <c r="R41" s="103"/>
      <c r="S41" s="89"/>
      <c r="Y41" s="93" t="s">
        <v>109</v>
      </c>
      <c r="AC41" s="94">
        <f>8%*0.5</f>
        <v>0.04</v>
      </c>
    </row>
    <row r="42" spans="8:33" ht="15.5" x14ac:dyDescent="0.35">
      <c r="H42" s="16"/>
      <c r="I42" s="16"/>
      <c r="J42" s="16"/>
      <c r="K42" s="16"/>
      <c r="L42" s="16"/>
      <c r="M42" s="16"/>
      <c r="N42" s="16"/>
      <c r="O42" s="16"/>
      <c r="P42" s="104" t="s">
        <v>61</v>
      </c>
      <c r="S42" s="105">
        <f>[1]PF_Schedule!G70</f>
        <v>0</v>
      </c>
      <c r="Y42" s="93"/>
      <c r="AC42" s="91"/>
    </row>
    <row r="43" spans="8:33" ht="15.5" x14ac:dyDescent="0.35">
      <c r="P43" s="104" t="s">
        <v>110</v>
      </c>
      <c r="S43" s="106">
        <f>MAX(C6:C24)</f>
        <v>9</v>
      </c>
      <c r="Y43" s="90" t="s">
        <v>81</v>
      </c>
      <c r="AC43" s="91"/>
    </row>
    <row r="44" spans="8:33" ht="15.5" x14ac:dyDescent="0.35">
      <c r="P44" s="104" t="s">
        <v>111</v>
      </c>
      <c r="S44" s="106">
        <f>S42/S43</f>
        <v>0</v>
      </c>
      <c r="Y44" s="93" t="s">
        <v>112</v>
      </c>
      <c r="AC44" s="95">
        <f>ROUND(VLOOKUP([1]Inputs!H14,'[1]Benefit Cost by Region'!$A$20:$D$31,4,FALSE),-2)</f>
        <v>11600</v>
      </c>
    </row>
    <row r="45" spans="8:33" x14ac:dyDescent="0.35">
      <c r="P45" s="93"/>
      <c r="S45" s="96"/>
      <c r="Y45" s="93"/>
      <c r="AC45" s="91"/>
    </row>
    <row r="46" spans="8:33" x14ac:dyDescent="0.35">
      <c r="P46" s="90" t="s">
        <v>113</v>
      </c>
      <c r="S46" s="106">
        <f>ROUND(VLOOKUP([1]Inputs!H14,'[1]Benefit Cost by Region'!$A$20:$D$31,4,FALSE),-2)</f>
        <v>11600</v>
      </c>
      <c r="Y46" s="90" t="s">
        <v>114</v>
      </c>
      <c r="AC46" s="91"/>
    </row>
    <row r="47" spans="8:33" ht="16" thickBot="1" x14ac:dyDescent="0.4">
      <c r="P47" s="104" t="s">
        <v>64</v>
      </c>
      <c r="S47" s="106">
        <f>S44-S46</f>
        <v>-11600</v>
      </c>
      <c r="Y47" s="107" t="s">
        <v>115</v>
      </c>
      <c r="Z47" s="100"/>
      <c r="AA47" s="100"/>
      <c r="AB47" s="100"/>
      <c r="AC47" s="108">
        <v>0.03</v>
      </c>
    </row>
    <row r="48" spans="8:33" ht="15.5" x14ac:dyDescent="0.35">
      <c r="P48" s="90"/>
      <c r="S48" s="109"/>
      <c r="Y48" s="37"/>
      <c r="AC48" s="110"/>
    </row>
    <row r="49" spans="16:19" ht="16" thickBot="1" x14ac:dyDescent="0.4">
      <c r="P49" s="107" t="s">
        <v>116</v>
      </c>
      <c r="Q49" s="100"/>
      <c r="R49" s="100"/>
      <c r="S49" s="111">
        <v>1</v>
      </c>
    </row>
  </sheetData>
  <conditionalFormatting sqref="C8:AC8 C15:AC15 C24:AC24">
    <cfRule type="cellIs" dxfId="7" priority="1" stopIfTrue="1" operator="notEqual">
      <formula>0.6545646468</formula>
    </cfRule>
  </conditionalFormatting>
  <conditionalFormatting sqref="C26:AC27">
    <cfRule type="cellIs" dxfId="6" priority="3" stopIfTrue="1" operator="notEqual">
      <formula>0.6545646468</formula>
    </cfRule>
  </conditionalFormatting>
  <conditionalFormatting sqref="F3 C4:S4 P31:S31 Y31:AC31">
    <cfRule type="cellIs" dxfId="5" priority="8" stopIfTrue="1" operator="notEqual">
      <formula>0.6545646468</formula>
    </cfRule>
  </conditionalFormatting>
  <conditionalFormatting sqref="P41:S41">
    <cfRule type="cellIs" dxfId="4" priority="4" stopIfTrue="1" operator="notEqual">
      <formula>0.6545646468</formula>
    </cfRule>
  </conditionalFormatting>
  <conditionalFormatting sqref="U3:W4">
    <cfRule type="cellIs" dxfId="3" priority="2" stopIfTrue="1" operator="notEqual">
      <formula>0.6545646468</formula>
    </cfRule>
  </conditionalFormatting>
  <conditionalFormatting sqref="Y3:AA3 AB3:AC4">
    <cfRule type="cellIs" dxfId="2" priority="6" stopIfTrue="1" operator="notEqual">
      <formula>0.6545646468</formula>
    </cfRule>
  </conditionalFormatting>
  <conditionalFormatting sqref="Y26:AA26">
    <cfRule type="cellIs" dxfId="1" priority="5" stopIfTrue="1" operator="notEqual">
      <formula>0.6545646468</formula>
    </cfRule>
  </conditionalFormatting>
  <conditionalFormatting sqref="Y4:AB4">
    <cfRule type="cellIs" dxfId="0" priority="7" stopIfTrue="1" operator="notEqual">
      <formula>0.6545646468</formula>
    </cfRule>
  </conditionalFormatting>
  <pageMargins left="0.7" right="0.7" top="0.75" bottom="0.75" header="0.3" footer="0.3"/>
  <pageSetup paperSize="17" scale="58"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B3FEF-A70D-B944-82F4-C9836B181100}">
  <dimension ref="A1:B67"/>
  <sheetViews>
    <sheetView showGridLines="0" tabSelected="1" topLeftCell="A23" workbookViewId="0">
      <selection activeCell="A7" sqref="A7"/>
    </sheetView>
  </sheetViews>
  <sheetFormatPr defaultColWidth="11.25" defaultRowHeight="15.5" x14ac:dyDescent="0.35"/>
  <cols>
    <col min="1" max="1" width="32.33203125" style="1" customWidth="1"/>
    <col min="2" max="2" width="17" style="1" customWidth="1"/>
  </cols>
  <sheetData>
    <row r="1" spans="1:2" ht="16" x14ac:dyDescent="0.4">
      <c r="A1" s="358" t="s">
        <v>180</v>
      </c>
      <c r="B1" s="359"/>
    </row>
    <row r="2" spans="1:2" x14ac:dyDescent="0.35">
      <c r="A2" s="360" t="s">
        <v>185</v>
      </c>
      <c r="B2" s="359"/>
    </row>
    <row r="3" spans="1:2" x14ac:dyDescent="0.35">
      <c r="A3" s="361"/>
      <c r="B3" s="362"/>
    </row>
    <row r="5" spans="1:2" x14ac:dyDescent="0.35">
      <c r="A5" s="7" t="s">
        <v>11</v>
      </c>
      <c r="B5" s="7" t="s">
        <v>179</v>
      </c>
    </row>
    <row r="6" spans="1:2" x14ac:dyDescent="0.35">
      <c r="A6" s="2" t="s">
        <v>1</v>
      </c>
    </row>
    <row r="7" spans="1:2" x14ac:dyDescent="0.35">
      <c r="A7" s="3" t="s">
        <v>2</v>
      </c>
      <c r="B7" s="8">
        <v>569203.54</v>
      </c>
    </row>
    <row r="8" spans="1:2" x14ac:dyDescent="0.35">
      <c r="A8" s="4" t="s">
        <v>3</v>
      </c>
      <c r="B8" s="9">
        <f>B6+B7</f>
        <v>569203.54</v>
      </c>
    </row>
    <row r="9" spans="1:2" x14ac:dyDescent="0.35">
      <c r="A9" s="4" t="s">
        <v>4</v>
      </c>
      <c r="B9" s="9">
        <f>B8-0</f>
        <v>569203.54</v>
      </c>
    </row>
    <row r="10" spans="1:2" x14ac:dyDescent="0.35">
      <c r="A10" s="2" t="s">
        <v>5</v>
      </c>
    </row>
    <row r="11" spans="1:2" x14ac:dyDescent="0.35">
      <c r="A11" s="3" t="s">
        <v>6</v>
      </c>
      <c r="B11" s="8">
        <v>510.76</v>
      </c>
    </row>
    <row r="12" spans="1:2" x14ac:dyDescent="0.35">
      <c r="A12" s="3" t="s">
        <v>7</v>
      </c>
      <c r="B12" s="8">
        <v>1871.7</v>
      </c>
    </row>
    <row r="13" spans="1:2" x14ac:dyDescent="0.35">
      <c r="A13" s="3" t="s">
        <v>8</v>
      </c>
      <c r="B13" s="8">
        <v>6147</v>
      </c>
    </row>
    <row r="14" spans="1:2" x14ac:dyDescent="0.35">
      <c r="A14" s="3" t="s">
        <v>9</v>
      </c>
      <c r="B14" s="10">
        <v>4150</v>
      </c>
    </row>
    <row r="15" spans="1:2" x14ac:dyDescent="0.35">
      <c r="A15" s="3" t="s">
        <v>12</v>
      </c>
      <c r="B15" s="8">
        <v>457.72</v>
      </c>
    </row>
    <row r="16" spans="1:2" x14ac:dyDescent="0.35">
      <c r="A16" s="3" t="s">
        <v>13</v>
      </c>
      <c r="B16" s="8">
        <v>14.35</v>
      </c>
    </row>
    <row r="17" spans="1:2" x14ac:dyDescent="0.35">
      <c r="A17" s="5" t="s">
        <v>14</v>
      </c>
      <c r="B17" s="8">
        <v>242.16</v>
      </c>
    </row>
    <row r="18" spans="1:2" x14ac:dyDescent="0.35">
      <c r="A18" s="5" t="s">
        <v>15</v>
      </c>
      <c r="B18" s="8">
        <v>7652.27</v>
      </c>
    </row>
    <row r="19" spans="1:2" x14ac:dyDescent="0.35">
      <c r="A19" s="5" t="s">
        <v>16</v>
      </c>
      <c r="B19" s="8">
        <v>99</v>
      </c>
    </row>
    <row r="20" spans="1:2" x14ac:dyDescent="0.35">
      <c r="A20" s="6" t="s">
        <v>17</v>
      </c>
      <c r="B20" s="9">
        <f>B16+B17+B18+B19</f>
        <v>8007.7800000000007</v>
      </c>
    </row>
    <row r="21" spans="1:2" x14ac:dyDescent="0.35">
      <c r="A21" s="3" t="s">
        <v>18</v>
      </c>
      <c r="B21" s="8">
        <v>9381.85</v>
      </c>
    </row>
    <row r="22" spans="1:2" x14ac:dyDescent="0.35">
      <c r="A22" s="3" t="s">
        <v>19</v>
      </c>
      <c r="B22" s="8">
        <v>97.85</v>
      </c>
    </row>
    <row r="23" spans="1:2" x14ac:dyDescent="0.35">
      <c r="A23" s="5" t="s">
        <v>20</v>
      </c>
      <c r="B23" s="8">
        <v>4007.78</v>
      </c>
    </row>
    <row r="24" spans="1:2" x14ac:dyDescent="0.35">
      <c r="A24" s="5" t="s">
        <v>21</v>
      </c>
      <c r="B24" s="8">
        <v>5295.51</v>
      </c>
    </row>
    <row r="25" spans="1:2" x14ac:dyDescent="0.35">
      <c r="A25" s="6" t="s">
        <v>22</v>
      </c>
      <c r="B25" s="9">
        <f>B22+B23+B24</f>
        <v>9401.14</v>
      </c>
    </row>
    <row r="26" spans="1:2" x14ac:dyDescent="0.35">
      <c r="A26" s="3" t="s">
        <v>23</v>
      </c>
      <c r="B26" s="8">
        <v>5098</v>
      </c>
    </row>
    <row r="27" spans="1:2" x14ac:dyDescent="0.35">
      <c r="A27" s="5" t="s">
        <v>24</v>
      </c>
      <c r="B27" s="8">
        <v>18.05</v>
      </c>
    </row>
    <row r="28" spans="1:2" x14ac:dyDescent="0.35">
      <c r="A28" s="6" t="s">
        <v>25</v>
      </c>
      <c r="B28" s="9">
        <f>B26+B27</f>
        <v>5116.05</v>
      </c>
    </row>
    <row r="29" spans="1:2" x14ac:dyDescent="0.35">
      <c r="A29" s="3" t="s">
        <v>26</v>
      </c>
      <c r="B29" s="8">
        <v>340.42</v>
      </c>
    </row>
    <row r="30" spans="1:2" x14ac:dyDescent="0.35">
      <c r="A30" s="5" t="s">
        <v>27</v>
      </c>
      <c r="B30" s="8">
        <v>3389.49</v>
      </c>
    </row>
    <row r="31" spans="1:2" x14ac:dyDescent="0.35">
      <c r="A31" s="5" t="s">
        <v>28</v>
      </c>
      <c r="B31" s="8">
        <v>233.61</v>
      </c>
    </row>
    <row r="32" spans="1:2" x14ac:dyDescent="0.35">
      <c r="A32" s="5" t="s">
        <v>29</v>
      </c>
      <c r="B32" s="8">
        <v>24553.15</v>
      </c>
    </row>
    <row r="33" spans="1:2" x14ac:dyDescent="0.35">
      <c r="A33" s="6" t="s">
        <v>30</v>
      </c>
      <c r="B33" s="9">
        <f>B29+B30+B31+B32</f>
        <v>28516.670000000002</v>
      </c>
    </row>
    <row r="34" spans="1:2" x14ac:dyDescent="0.35">
      <c r="A34" s="3" t="s">
        <v>31</v>
      </c>
      <c r="B34" s="11"/>
    </row>
    <row r="35" spans="1:2" x14ac:dyDescent="0.35">
      <c r="A35" s="5" t="s">
        <v>32</v>
      </c>
      <c r="B35" s="8">
        <v>183335.48</v>
      </c>
    </row>
    <row r="36" spans="1:2" x14ac:dyDescent="0.35">
      <c r="A36" s="5" t="s">
        <v>33</v>
      </c>
      <c r="B36" s="8">
        <v>1047.0999999999999</v>
      </c>
    </row>
    <row r="37" spans="1:2" x14ac:dyDescent="0.35">
      <c r="A37" s="5" t="s">
        <v>34</v>
      </c>
      <c r="B37" s="8">
        <v>23961.38</v>
      </c>
    </row>
    <row r="38" spans="1:2" x14ac:dyDescent="0.35">
      <c r="A38" s="5" t="s">
        <v>35</v>
      </c>
      <c r="B38" s="8">
        <v>124914.82</v>
      </c>
    </row>
    <row r="39" spans="1:2" x14ac:dyDescent="0.35">
      <c r="A39" s="6" t="s">
        <v>36</v>
      </c>
      <c r="B39" s="9">
        <f>B34+B35+B36+B37+B38</f>
        <v>333258.78000000003</v>
      </c>
    </row>
    <row r="40" spans="1:2" x14ac:dyDescent="0.35">
      <c r="A40" s="3" t="s">
        <v>37</v>
      </c>
      <c r="B40" s="8">
        <v>2705.8</v>
      </c>
    </row>
    <row r="41" spans="1:2" x14ac:dyDescent="0.35">
      <c r="A41" s="3" t="s">
        <v>38</v>
      </c>
      <c r="B41" s="8">
        <v>5882.4</v>
      </c>
    </row>
    <row r="42" spans="1:2" x14ac:dyDescent="0.35">
      <c r="A42" s="5" t="s">
        <v>39</v>
      </c>
      <c r="B42" s="8">
        <v>239.88</v>
      </c>
    </row>
    <row r="43" spans="1:2" x14ac:dyDescent="0.35">
      <c r="A43" s="6" t="s">
        <v>40</v>
      </c>
      <c r="B43" s="9">
        <f>B41+B42</f>
        <v>6122.28</v>
      </c>
    </row>
    <row r="44" spans="1:2" x14ac:dyDescent="0.35">
      <c r="A44" s="3" t="s">
        <v>41</v>
      </c>
      <c r="B44" s="8">
        <v>791.78</v>
      </c>
    </row>
    <row r="45" spans="1:2" x14ac:dyDescent="0.35">
      <c r="A45" s="5" t="s">
        <v>42</v>
      </c>
      <c r="B45" s="8">
        <v>14971.31</v>
      </c>
    </row>
    <row r="46" spans="1:2" x14ac:dyDescent="0.35">
      <c r="A46" s="5" t="s">
        <v>43</v>
      </c>
      <c r="B46" s="8">
        <v>5567.91</v>
      </c>
    </row>
    <row r="47" spans="1:2" x14ac:dyDescent="0.35">
      <c r="A47" s="5" t="s">
        <v>44</v>
      </c>
      <c r="B47" s="8">
        <v>2018.49</v>
      </c>
    </row>
    <row r="48" spans="1:2" x14ac:dyDescent="0.35">
      <c r="A48" s="6" t="s">
        <v>45</v>
      </c>
      <c r="B48" s="9">
        <f>B44+B45+B46+B47</f>
        <v>23349.49</v>
      </c>
    </row>
    <row r="49" spans="1:2" x14ac:dyDescent="0.35">
      <c r="A49" s="4" t="s">
        <v>46</v>
      </c>
      <c r="B49" s="9">
        <v>438997.02</v>
      </c>
    </row>
    <row r="50" spans="1:2" x14ac:dyDescent="0.35">
      <c r="A50" s="4" t="s">
        <v>47</v>
      </c>
      <c r="B50" s="9">
        <f>B9-B49</f>
        <v>130206.52000000002</v>
      </c>
    </row>
    <row r="51" spans="1:2" x14ac:dyDescent="0.35">
      <c r="A51" s="2" t="s">
        <v>48</v>
      </c>
    </row>
    <row r="52" spans="1:2" x14ac:dyDescent="0.35">
      <c r="A52" s="3" t="s">
        <v>49</v>
      </c>
      <c r="B52" s="8">
        <v>205</v>
      </c>
    </row>
    <row r="53" spans="1:2" x14ac:dyDescent="0.35">
      <c r="A53" s="4" t="s">
        <v>50</v>
      </c>
      <c r="B53" s="9">
        <f>B51+B52</f>
        <v>205</v>
      </c>
    </row>
    <row r="54" spans="1:2" x14ac:dyDescent="0.35">
      <c r="A54" s="2" t="s">
        <v>51</v>
      </c>
    </row>
    <row r="55" spans="1:2" x14ac:dyDescent="0.35">
      <c r="A55" s="3" t="s">
        <v>52</v>
      </c>
      <c r="B55" s="11"/>
    </row>
    <row r="56" spans="1:2" x14ac:dyDescent="0.35">
      <c r="A56" s="5" t="s">
        <v>53</v>
      </c>
      <c r="B56" s="8">
        <v>175</v>
      </c>
    </row>
    <row r="57" spans="1:2" x14ac:dyDescent="0.35">
      <c r="A57" s="5" t="s">
        <v>54</v>
      </c>
      <c r="B57" s="8">
        <v>52.15</v>
      </c>
    </row>
    <row r="58" spans="1:2" x14ac:dyDescent="0.35">
      <c r="A58" s="6" t="s">
        <v>55</v>
      </c>
      <c r="B58" s="9">
        <f>B55+B56+B57</f>
        <v>227.15</v>
      </c>
    </row>
    <row r="59" spans="1:2" x14ac:dyDescent="0.35">
      <c r="A59" s="4" t="s">
        <v>56</v>
      </c>
      <c r="B59" s="9">
        <f>B54+B58</f>
        <v>227.15</v>
      </c>
    </row>
    <row r="60" spans="1:2" x14ac:dyDescent="0.35">
      <c r="A60" s="4" t="s">
        <v>57</v>
      </c>
      <c r="B60" s="9">
        <f>B53-B59</f>
        <v>-22.150000000000006</v>
      </c>
    </row>
    <row r="61" spans="1:2" x14ac:dyDescent="0.35">
      <c r="A61" s="4" t="s">
        <v>58</v>
      </c>
      <c r="B61" s="9">
        <f>B50+B60</f>
        <v>130184.37000000002</v>
      </c>
    </row>
    <row r="67" spans="1:2" x14ac:dyDescent="0.35">
      <c r="A67" s="363" t="s">
        <v>59</v>
      </c>
      <c r="B67" s="362"/>
    </row>
  </sheetData>
  <mergeCells count="4">
    <mergeCell ref="A1:B1"/>
    <mergeCell ref="A2:B2"/>
    <mergeCell ref="A3:B3"/>
    <mergeCell ref="A67:B67"/>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B671C-DD51-40BC-ADF0-B1DBB57C724C}">
  <dimension ref="A1:B39"/>
  <sheetViews>
    <sheetView topLeftCell="A33" workbookViewId="0">
      <selection activeCell="B28" sqref="B28"/>
    </sheetView>
  </sheetViews>
  <sheetFormatPr defaultColWidth="11.25" defaultRowHeight="15.5" x14ac:dyDescent="0.35"/>
  <cols>
    <col min="1" max="1" width="33.83203125" style="1" customWidth="1"/>
    <col min="2" max="2" width="16.08203125" style="1" customWidth="1"/>
  </cols>
  <sheetData>
    <row r="1" spans="1:2" ht="16" x14ac:dyDescent="0.4">
      <c r="A1" s="364" t="s">
        <v>0</v>
      </c>
      <c r="B1" s="362"/>
    </row>
    <row r="2" spans="1:2" x14ac:dyDescent="0.35">
      <c r="A2" s="365" t="s">
        <v>351</v>
      </c>
      <c r="B2" s="362"/>
    </row>
    <row r="3" spans="1:2" x14ac:dyDescent="0.35">
      <c r="A3" s="361" t="s">
        <v>675</v>
      </c>
      <c r="B3" s="362"/>
    </row>
    <row r="5" spans="1:2" x14ac:dyDescent="0.35">
      <c r="A5" s="7" t="s">
        <v>11</v>
      </c>
      <c r="B5" s="7" t="s">
        <v>10</v>
      </c>
    </row>
    <row r="6" spans="1:2" x14ac:dyDescent="0.35">
      <c r="A6" s="2" t="s">
        <v>353</v>
      </c>
    </row>
    <row r="7" spans="1:2" x14ac:dyDescent="0.35">
      <c r="A7" s="3" t="s">
        <v>354</v>
      </c>
    </row>
    <row r="8" spans="1:2" x14ac:dyDescent="0.35">
      <c r="A8" s="5" t="s">
        <v>355</v>
      </c>
    </row>
    <row r="9" spans="1:2" x14ac:dyDescent="0.35">
      <c r="A9" s="175" t="s">
        <v>356</v>
      </c>
      <c r="B9" s="8">
        <v>32280.77</v>
      </c>
    </row>
    <row r="10" spans="1:2" x14ac:dyDescent="0.35">
      <c r="A10" s="175" t="s">
        <v>357</v>
      </c>
      <c r="B10" s="8">
        <v>98960.65</v>
      </c>
    </row>
    <row r="11" spans="1:2" x14ac:dyDescent="0.35">
      <c r="A11" s="176" t="s">
        <v>360</v>
      </c>
      <c r="B11" s="9">
        <f>B8+B9+B10</f>
        <v>131241.41999999998</v>
      </c>
    </row>
    <row r="12" spans="1:2" x14ac:dyDescent="0.35">
      <c r="A12" s="5" t="s">
        <v>361</v>
      </c>
    </row>
    <row r="13" spans="1:2" x14ac:dyDescent="0.35">
      <c r="A13" s="175" t="s">
        <v>362</v>
      </c>
      <c r="B13" s="8">
        <v>30476.74</v>
      </c>
    </row>
    <row r="14" spans="1:2" x14ac:dyDescent="0.35">
      <c r="A14" s="176" t="s">
        <v>363</v>
      </c>
      <c r="B14" s="9">
        <f>B12+B13</f>
        <v>30476.74</v>
      </c>
    </row>
    <row r="15" spans="1:2" x14ac:dyDescent="0.35">
      <c r="A15" s="6" t="s">
        <v>367</v>
      </c>
      <c r="B15" s="9">
        <f>B7+B11+B14</f>
        <v>161718.15999999997</v>
      </c>
    </row>
    <row r="16" spans="1:2" x14ac:dyDescent="0.35">
      <c r="A16" s="4" t="s">
        <v>374</v>
      </c>
      <c r="B16" s="9">
        <f>B6+B15</f>
        <v>161718.15999999997</v>
      </c>
    </row>
    <row r="17" spans="1:2" x14ac:dyDescent="0.35">
      <c r="A17" s="2" t="s">
        <v>375</v>
      </c>
    </row>
    <row r="18" spans="1:2" x14ac:dyDescent="0.35">
      <c r="A18" s="3" t="s">
        <v>376</v>
      </c>
    </row>
    <row r="19" spans="1:2" x14ac:dyDescent="0.35">
      <c r="A19" s="5" t="s">
        <v>377</v>
      </c>
    </row>
    <row r="20" spans="1:2" x14ac:dyDescent="0.35">
      <c r="A20" s="175" t="s">
        <v>378</v>
      </c>
    </row>
    <row r="21" spans="1:2" x14ac:dyDescent="0.35">
      <c r="A21" s="177" t="s">
        <v>379</v>
      </c>
      <c r="B21" s="10">
        <v>0</v>
      </c>
    </row>
    <row r="22" spans="1:2" x14ac:dyDescent="0.35">
      <c r="A22" s="177" t="s">
        <v>380</v>
      </c>
      <c r="B22" s="8">
        <v>4021.45</v>
      </c>
    </row>
    <row r="23" spans="1:2" x14ac:dyDescent="0.35">
      <c r="A23" s="178" t="s">
        <v>381</v>
      </c>
      <c r="B23" s="9">
        <f>B20+B21+B22</f>
        <v>4021.45</v>
      </c>
    </row>
    <row r="24" spans="1:2" x14ac:dyDescent="0.35">
      <c r="A24" s="175" t="s">
        <v>382</v>
      </c>
    </row>
    <row r="25" spans="1:2" x14ac:dyDescent="0.35">
      <c r="A25" s="177" t="s">
        <v>383</v>
      </c>
      <c r="B25" s="8">
        <v>-45847.39</v>
      </c>
    </row>
    <row r="26" spans="1:2" x14ac:dyDescent="0.35">
      <c r="A26" s="177" t="s">
        <v>384</v>
      </c>
      <c r="B26" s="8">
        <v>175314.78</v>
      </c>
    </row>
    <row r="27" spans="1:2" x14ac:dyDescent="0.35">
      <c r="A27" s="178" t="s">
        <v>385</v>
      </c>
      <c r="B27" s="9">
        <f>B24+B25+B26</f>
        <v>129467.39</v>
      </c>
    </row>
    <row r="28" spans="1:2" x14ac:dyDescent="0.35">
      <c r="A28" s="176" t="s">
        <v>386</v>
      </c>
      <c r="B28" s="9">
        <f>B19+B23+B27</f>
        <v>133488.84</v>
      </c>
    </row>
    <row r="29" spans="1:2" x14ac:dyDescent="0.35">
      <c r="A29" s="6" t="s">
        <v>387</v>
      </c>
      <c r="B29" s="9">
        <f>B18+B28</f>
        <v>133488.84</v>
      </c>
    </row>
    <row r="30" spans="1:2" x14ac:dyDescent="0.35">
      <c r="A30" s="3" t="s">
        <v>388</v>
      </c>
    </row>
    <row r="31" spans="1:2" x14ac:dyDescent="0.35">
      <c r="A31" s="5" t="s">
        <v>389</v>
      </c>
      <c r="B31" s="10">
        <v>0</v>
      </c>
    </row>
    <row r="32" spans="1:2" x14ac:dyDescent="0.35">
      <c r="A32" s="5" t="s">
        <v>393</v>
      </c>
      <c r="B32" s="11"/>
    </row>
    <row r="33" spans="1:2" x14ac:dyDescent="0.35">
      <c r="A33" s="5" t="s">
        <v>58</v>
      </c>
      <c r="B33" s="8">
        <v>28229.319999999992</v>
      </c>
    </row>
    <row r="34" spans="1:2" x14ac:dyDescent="0.35">
      <c r="A34" s="6" t="s">
        <v>394</v>
      </c>
      <c r="B34" s="9">
        <f>B30+B31+B32+B33</f>
        <v>28229.319999999992</v>
      </c>
    </row>
    <row r="35" spans="1:2" x14ac:dyDescent="0.35">
      <c r="A35" s="4" t="s">
        <v>395</v>
      </c>
      <c r="B35" s="9">
        <f>B17+B29+B34</f>
        <v>161718.15999999997</v>
      </c>
    </row>
    <row r="37" spans="1:2" ht="74.25" customHeight="1" x14ac:dyDescent="0.35">
      <c r="A37" s="295" t="s">
        <v>673</v>
      </c>
    </row>
    <row r="39" spans="1:2" x14ac:dyDescent="0.35">
      <c r="A39" s="363" t="s">
        <v>676</v>
      </c>
      <c r="B39" s="362"/>
    </row>
  </sheetData>
  <mergeCells count="4">
    <mergeCell ref="A1:B1"/>
    <mergeCell ref="A2:B2"/>
    <mergeCell ref="A3:B3"/>
    <mergeCell ref="A39:B39"/>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C7D1-9D93-46E7-8686-0569F6B8BA20}">
  <dimension ref="A1:B53"/>
  <sheetViews>
    <sheetView topLeftCell="A49" workbookViewId="0">
      <selection activeCell="A51" sqref="A51"/>
    </sheetView>
  </sheetViews>
  <sheetFormatPr defaultColWidth="11.25" defaultRowHeight="15.5" x14ac:dyDescent="0.35"/>
  <cols>
    <col min="1" max="1" width="30.75" style="1" customWidth="1"/>
    <col min="2" max="2" width="17" style="1" customWidth="1"/>
  </cols>
  <sheetData>
    <row r="1" spans="1:2" ht="16" x14ac:dyDescent="0.4">
      <c r="A1" s="364" t="s">
        <v>0</v>
      </c>
      <c r="B1" s="362"/>
    </row>
    <row r="2" spans="1:2" x14ac:dyDescent="0.35">
      <c r="A2" s="365" t="s">
        <v>351</v>
      </c>
      <c r="B2" s="362"/>
    </row>
    <row r="3" spans="1:2" x14ac:dyDescent="0.35">
      <c r="A3" s="361" t="s">
        <v>672</v>
      </c>
      <c r="B3" s="362"/>
    </row>
    <row r="5" spans="1:2" x14ac:dyDescent="0.35">
      <c r="A5" s="7" t="s">
        <v>11</v>
      </c>
      <c r="B5" s="7" t="s">
        <v>10</v>
      </c>
    </row>
    <row r="6" spans="1:2" x14ac:dyDescent="0.35">
      <c r="A6" s="2" t="s">
        <v>353</v>
      </c>
    </row>
    <row r="7" spans="1:2" x14ac:dyDescent="0.35">
      <c r="A7" s="3" t="s">
        <v>354</v>
      </c>
    </row>
    <row r="8" spans="1:2" x14ac:dyDescent="0.35">
      <c r="A8" s="5" t="s">
        <v>355</v>
      </c>
    </row>
    <row r="9" spans="1:2" x14ac:dyDescent="0.35">
      <c r="A9" s="175" t="s">
        <v>356</v>
      </c>
      <c r="B9" s="8">
        <v>27489.49</v>
      </c>
    </row>
    <row r="10" spans="1:2" x14ac:dyDescent="0.35">
      <c r="A10" s="175" t="s">
        <v>357</v>
      </c>
      <c r="B10" s="8">
        <v>248798.66</v>
      </c>
    </row>
    <row r="11" spans="1:2" x14ac:dyDescent="0.35">
      <c r="A11" s="175" t="s">
        <v>358</v>
      </c>
      <c r="B11" s="8">
        <v>13293.71</v>
      </c>
    </row>
    <row r="12" spans="1:2" x14ac:dyDescent="0.35">
      <c r="A12" s="175" t="s">
        <v>359</v>
      </c>
      <c r="B12" s="8">
        <v>-13293.71</v>
      </c>
    </row>
    <row r="13" spans="1:2" x14ac:dyDescent="0.35">
      <c r="A13" s="176" t="s">
        <v>360</v>
      </c>
      <c r="B13" s="9">
        <f>B8+B9+B10+B11+B12</f>
        <v>276288.15000000002</v>
      </c>
    </row>
    <row r="14" spans="1:2" x14ac:dyDescent="0.35">
      <c r="A14" s="5" t="s">
        <v>361</v>
      </c>
    </row>
    <row r="15" spans="1:2" x14ac:dyDescent="0.35">
      <c r="A15" s="175" t="s">
        <v>362</v>
      </c>
      <c r="B15" s="8">
        <v>244788.89</v>
      </c>
    </row>
    <row r="16" spans="1:2" x14ac:dyDescent="0.35">
      <c r="A16" s="176" t="s">
        <v>363</v>
      </c>
      <c r="B16" s="9">
        <f>B14+B15</f>
        <v>244788.89</v>
      </c>
    </row>
    <row r="17" spans="1:2" x14ac:dyDescent="0.35">
      <c r="A17" s="5" t="s">
        <v>364</v>
      </c>
    </row>
    <row r="18" spans="1:2" x14ac:dyDescent="0.35">
      <c r="A18" s="175" t="s">
        <v>365</v>
      </c>
      <c r="B18" s="10">
        <v>0</v>
      </c>
    </row>
    <row r="19" spans="1:2" x14ac:dyDescent="0.35">
      <c r="A19" s="176" t="s">
        <v>366</v>
      </c>
      <c r="B19" s="9">
        <f>B17+B18</f>
        <v>0</v>
      </c>
    </row>
    <row r="20" spans="1:2" x14ac:dyDescent="0.35">
      <c r="A20" s="6" t="s">
        <v>367</v>
      </c>
      <c r="B20" s="9">
        <f>B7+B13+B16+B19</f>
        <v>521077.04000000004</v>
      </c>
    </row>
    <row r="21" spans="1:2" x14ac:dyDescent="0.35">
      <c r="A21" s="3" t="s">
        <v>368</v>
      </c>
    </row>
    <row r="22" spans="1:2" x14ac:dyDescent="0.35">
      <c r="A22" s="5" t="s">
        <v>369</v>
      </c>
      <c r="B22" s="8">
        <v>2233.6999999999998</v>
      </c>
    </row>
    <row r="23" spans="1:2" x14ac:dyDescent="0.35">
      <c r="A23" s="6" t="s">
        <v>370</v>
      </c>
      <c r="B23" s="9">
        <f>B21+B22</f>
        <v>2233.6999999999998</v>
      </c>
    </row>
    <row r="24" spans="1:2" x14ac:dyDescent="0.35">
      <c r="A24" s="3" t="s">
        <v>371</v>
      </c>
    </row>
    <row r="25" spans="1:2" x14ac:dyDescent="0.35">
      <c r="A25" s="5" t="s">
        <v>372</v>
      </c>
      <c r="B25" s="8">
        <v>5546.04</v>
      </c>
    </row>
    <row r="26" spans="1:2" x14ac:dyDescent="0.35">
      <c r="A26" s="6" t="s">
        <v>373</v>
      </c>
      <c r="B26" s="9">
        <f>B24+B25</f>
        <v>5546.04</v>
      </c>
    </row>
    <row r="27" spans="1:2" x14ac:dyDescent="0.35">
      <c r="A27" s="4" t="s">
        <v>374</v>
      </c>
      <c r="B27" s="9">
        <f>B6+B20+B23+B26</f>
        <v>528856.78</v>
      </c>
    </row>
    <row r="28" spans="1:2" x14ac:dyDescent="0.35">
      <c r="A28" s="2" t="s">
        <v>375</v>
      </c>
    </row>
    <row r="29" spans="1:2" x14ac:dyDescent="0.35">
      <c r="A29" s="3" t="s">
        <v>376</v>
      </c>
    </row>
    <row r="30" spans="1:2" x14ac:dyDescent="0.35">
      <c r="A30" s="5" t="s">
        <v>377</v>
      </c>
    </row>
    <row r="31" spans="1:2" x14ac:dyDescent="0.35">
      <c r="A31" s="175" t="s">
        <v>378</v>
      </c>
    </row>
    <row r="32" spans="1:2" x14ac:dyDescent="0.35">
      <c r="A32" s="177" t="s">
        <v>379</v>
      </c>
      <c r="B32" s="10">
        <v>0</v>
      </c>
    </row>
    <row r="33" spans="1:2" x14ac:dyDescent="0.35">
      <c r="A33" s="177" t="s">
        <v>380</v>
      </c>
      <c r="B33" s="8">
        <v>49.42</v>
      </c>
    </row>
    <row r="34" spans="1:2" x14ac:dyDescent="0.35">
      <c r="A34" s="178" t="s">
        <v>381</v>
      </c>
      <c r="B34" s="9">
        <f>B31+B32+B33</f>
        <v>49.42</v>
      </c>
    </row>
    <row r="35" spans="1:2" x14ac:dyDescent="0.35">
      <c r="A35" s="175" t="s">
        <v>382</v>
      </c>
    </row>
    <row r="36" spans="1:2" x14ac:dyDescent="0.35">
      <c r="A36" s="177" t="s">
        <v>383</v>
      </c>
      <c r="B36" s="8">
        <v>-281589.90999999997</v>
      </c>
    </row>
    <row r="37" spans="1:2" x14ac:dyDescent="0.35">
      <c r="A37" s="177" t="s">
        <v>384</v>
      </c>
      <c r="B37" s="8">
        <v>788471.17</v>
      </c>
    </row>
    <row r="38" spans="1:2" x14ac:dyDescent="0.35">
      <c r="A38" s="178" t="s">
        <v>385</v>
      </c>
      <c r="B38" s="9">
        <f>B35+B36+B37</f>
        <v>506881.26000000007</v>
      </c>
    </row>
    <row r="39" spans="1:2" x14ac:dyDescent="0.35">
      <c r="A39" s="176" t="s">
        <v>386</v>
      </c>
      <c r="B39" s="9">
        <f>B30+B34+B38</f>
        <v>506930.68000000005</v>
      </c>
    </row>
    <row r="40" spans="1:2" x14ac:dyDescent="0.35">
      <c r="A40" s="6" t="s">
        <v>387</v>
      </c>
      <c r="B40" s="9">
        <f>B29+B39</f>
        <v>506930.68000000005</v>
      </c>
    </row>
    <row r="41" spans="1:2" x14ac:dyDescent="0.35">
      <c r="A41" s="3" t="s">
        <v>388</v>
      </c>
    </row>
    <row r="42" spans="1:2" x14ac:dyDescent="0.35">
      <c r="A42" s="5" t="s">
        <v>389</v>
      </c>
      <c r="B42" s="10">
        <v>0</v>
      </c>
    </row>
    <row r="43" spans="1:2" x14ac:dyDescent="0.35">
      <c r="A43" s="5" t="s">
        <v>390</v>
      </c>
      <c r="B43" s="11"/>
    </row>
    <row r="44" spans="1:2" x14ac:dyDescent="0.35">
      <c r="A44" s="175" t="s">
        <v>391</v>
      </c>
      <c r="B44" s="8">
        <v>-3051.63</v>
      </c>
    </row>
    <row r="45" spans="1:2" x14ac:dyDescent="0.35">
      <c r="A45" s="176" t="s">
        <v>392</v>
      </c>
      <c r="B45" s="9">
        <f>B43+B44</f>
        <v>-3051.63</v>
      </c>
    </row>
    <row r="46" spans="1:2" x14ac:dyDescent="0.35">
      <c r="A46" s="5" t="s">
        <v>393</v>
      </c>
      <c r="B46" s="8">
        <v>28229.319999999996</v>
      </c>
    </row>
    <row r="47" spans="1:2" x14ac:dyDescent="0.35">
      <c r="A47" s="5" t="s">
        <v>58</v>
      </c>
      <c r="B47" s="8">
        <v>-3251.5899999999697</v>
      </c>
    </row>
    <row r="48" spans="1:2" x14ac:dyDescent="0.35">
      <c r="A48" s="6" t="s">
        <v>394</v>
      </c>
      <c r="B48" s="9">
        <f>B41+B42+B45+B46+B47</f>
        <v>21926.100000000024</v>
      </c>
    </row>
    <row r="49" spans="1:2" x14ac:dyDescent="0.35">
      <c r="A49" s="4" t="s">
        <v>395</v>
      </c>
      <c r="B49" s="9">
        <f>B28+B40+B48</f>
        <v>528856.78</v>
      </c>
    </row>
    <row r="51" spans="1:2" ht="84.75" customHeight="1" x14ac:dyDescent="0.35">
      <c r="A51" s="295" t="s">
        <v>673</v>
      </c>
    </row>
    <row r="53" spans="1:2" x14ac:dyDescent="0.35">
      <c r="A53" s="363" t="s">
        <v>674</v>
      </c>
      <c r="B53" s="362"/>
    </row>
  </sheetData>
  <mergeCells count="4">
    <mergeCell ref="A1:B1"/>
    <mergeCell ref="A2:B2"/>
    <mergeCell ref="A3:B3"/>
    <mergeCell ref="A53:B53"/>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AA5E-572A-4739-A60A-5DE0D5A74768}">
  <dimension ref="A1:D53"/>
  <sheetViews>
    <sheetView showGridLines="0" workbookViewId="0">
      <selection activeCell="C10" sqref="C10"/>
    </sheetView>
  </sheetViews>
  <sheetFormatPr defaultColWidth="11.25" defaultRowHeight="15.5" x14ac:dyDescent="0.35"/>
  <cols>
    <col min="1" max="1" width="30.75" style="1" customWidth="1"/>
    <col min="2" max="2" width="15" style="1" customWidth="1"/>
    <col min="3" max="3" width="13.5" style="1" customWidth="1"/>
    <col min="4" max="4" width="16.08203125" style="1" customWidth="1"/>
  </cols>
  <sheetData>
    <row r="1" spans="1:4" ht="18" x14ac:dyDescent="0.4">
      <c r="A1" s="358" t="s">
        <v>177</v>
      </c>
      <c r="B1" s="358"/>
      <c r="C1" s="358"/>
      <c r="D1" s="359"/>
    </row>
    <row r="2" spans="1:4" x14ac:dyDescent="0.35">
      <c r="A2" s="360" t="s">
        <v>677</v>
      </c>
      <c r="B2" s="360"/>
      <c r="C2" s="360"/>
      <c r="D2" s="359"/>
    </row>
    <row r="3" spans="1:4" x14ac:dyDescent="0.35">
      <c r="A3" s="361"/>
      <c r="B3" s="361"/>
      <c r="C3" s="361"/>
      <c r="D3" s="362"/>
    </row>
    <row r="5" spans="1:4" x14ac:dyDescent="0.35">
      <c r="A5" s="7" t="s">
        <v>11</v>
      </c>
      <c r="B5" s="7">
        <v>2024</v>
      </c>
      <c r="C5" s="7">
        <v>2025</v>
      </c>
      <c r="D5" s="296" t="s">
        <v>352</v>
      </c>
    </row>
    <row r="6" spans="1:4" x14ac:dyDescent="0.35">
      <c r="A6" s="2" t="s">
        <v>353</v>
      </c>
      <c r="B6" s="2"/>
      <c r="C6" s="2"/>
    </row>
    <row r="7" spans="1:4" x14ac:dyDescent="0.35">
      <c r="A7" s="3" t="s">
        <v>354</v>
      </c>
      <c r="B7" s="3"/>
      <c r="C7" s="3"/>
    </row>
    <row r="8" spans="1:4" x14ac:dyDescent="0.35">
      <c r="A8" s="5" t="s">
        <v>355</v>
      </c>
      <c r="B8" s="5"/>
      <c r="C8" s="5"/>
    </row>
    <row r="9" spans="1:4" x14ac:dyDescent="0.35">
      <c r="A9" s="175" t="s">
        <v>356</v>
      </c>
      <c r="B9" s="8">
        <f>'2024 BS'!B9</f>
        <v>32280.77</v>
      </c>
      <c r="C9" s="8">
        <f>'2025 BS'!B9</f>
        <v>27489.49</v>
      </c>
      <c r="D9" s="8">
        <v>117004.95</v>
      </c>
    </row>
    <row r="10" spans="1:4" x14ac:dyDescent="0.35">
      <c r="A10" s="175" t="s">
        <v>357</v>
      </c>
      <c r="B10" s="8">
        <f>'2024 BS'!B10</f>
        <v>98960.65</v>
      </c>
      <c r="C10" s="8">
        <f>'2025 BS'!B10</f>
        <v>248798.66</v>
      </c>
      <c r="D10" s="8">
        <v>32739.54</v>
      </c>
    </row>
    <row r="11" spans="1:4" x14ac:dyDescent="0.35">
      <c r="A11" s="175" t="s">
        <v>358</v>
      </c>
      <c r="B11" s="8"/>
      <c r="C11" s="8">
        <f>'2025 BS'!B11</f>
        <v>13293.71</v>
      </c>
      <c r="D11" s="8">
        <v>13293.71</v>
      </c>
    </row>
    <row r="12" spans="1:4" x14ac:dyDescent="0.35">
      <c r="A12" s="175" t="s">
        <v>359</v>
      </c>
      <c r="B12" s="8"/>
      <c r="C12" s="8">
        <f>'2025 BS'!B12</f>
        <v>-13293.71</v>
      </c>
      <c r="D12" s="8">
        <v>-13293.71</v>
      </c>
    </row>
    <row r="13" spans="1:4" x14ac:dyDescent="0.35">
      <c r="A13" s="176" t="s">
        <v>360</v>
      </c>
      <c r="B13" s="9">
        <f>B8+B9+B10+B11+B12</f>
        <v>131241.41999999998</v>
      </c>
      <c r="C13" s="9">
        <f>C8+C9+C10+C11+C12</f>
        <v>276288.15000000002</v>
      </c>
      <c r="D13" s="9">
        <f>D8+D9+D10+D11+D12</f>
        <v>149744.49</v>
      </c>
    </row>
    <row r="14" spans="1:4" x14ac:dyDescent="0.35">
      <c r="A14" s="5" t="s">
        <v>361</v>
      </c>
      <c r="B14" s="5"/>
      <c r="C14" s="5"/>
    </row>
    <row r="15" spans="1:4" x14ac:dyDescent="0.35">
      <c r="A15" s="175" t="s">
        <v>362</v>
      </c>
      <c r="B15" s="8">
        <f>'2024 BS'!B13</f>
        <v>30476.74</v>
      </c>
      <c r="C15" s="8">
        <f>'2025 BS'!B15</f>
        <v>244788.89</v>
      </c>
      <c r="D15" s="8">
        <v>25944.12</v>
      </c>
    </row>
    <row r="16" spans="1:4" x14ac:dyDescent="0.35">
      <c r="A16" s="176" t="s">
        <v>363</v>
      </c>
      <c r="B16" s="9">
        <f>B14+B15</f>
        <v>30476.74</v>
      </c>
      <c r="C16" s="9">
        <f>C14+C15</f>
        <v>244788.89</v>
      </c>
      <c r="D16" s="9">
        <f>D14+D15</f>
        <v>25944.12</v>
      </c>
    </row>
    <row r="17" spans="1:4" x14ac:dyDescent="0.35">
      <c r="A17" s="5" t="s">
        <v>364</v>
      </c>
      <c r="B17" s="5"/>
      <c r="C17" s="5"/>
    </row>
    <row r="18" spans="1:4" x14ac:dyDescent="0.35">
      <c r="A18" s="175" t="s">
        <v>365</v>
      </c>
      <c r="B18" s="10"/>
      <c r="C18" s="10">
        <f>'2025 BS'!B18</f>
        <v>0</v>
      </c>
      <c r="D18" s="10">
        <v>0</v>
      </c>
    </row>
    <row r="19" spans="1:4" x14ac:dyDescent="0.35">
      <c r="A19" s="176" t="s">
        <v>366</v>
      </c>
      <c r="B19" s="9"/>
      <c r="C19" s="9">
        <f>C17+C18</f>
        <v>0</v>
      </c>
      <c r="D19" s="9">
        <f>D17+D18</f>
        <v>0</v>
      </c>
    </row>
    <row r="20" spans="1:4" x14ac:dyDescent="0.35">
      <c r="A20" s="6" t="s">
        <v>367</v>
      </c>
      <c r="B20" s="9"/>
      <c r="C20" s="9">
        <f>C7+C13+C16+C19</f>
        <v>521077.04000000004</v>
      </c>
      <c r="D20" s="9">
        <f>D7+D13+D16+D19</f>
        <v>175688.61</v>
      </c>
    </row>
    <row r="21" spans="1:4" x14ac:dyDescent="0.35">
      <c r="A21" s="3" t="s">
        <v>368</v>
      </c>
      <c r="B21" s="3"/>
      <c r="C21" s="3"/>
    </row>
    <row r="22" spans="1:4" x14ac:dyDescent="0.35">
      <c r="A22" s="5" t="s">
        <v>369</v>
      </c>
      <c r="B22" s="8"/>
      <c r="C22" s="8">
        <f>'2025 BS'!B22</f>
        <v>2233.6999999999998</v>
      </c>
      <c r="D22" s="8">
        <v>2233.6999999999998</v>
      </c>
    </row>
    <row r="23" spans="1:4" x14ac:dyDescent="0.35">
      <c r="A23" s="6" t="s">
        <v>370</v>
      </c>
      <c r="B23" s="9"/>
      <c r="C23" s="9">
        <f>C21+C22</f>
        <v>2233.6999999999998</v>
      </c>
      <c r="D23" s="9">
        <f>D21+D22</f>
        <v>2233.6999999999998</v>
      </c>
    </row>
    <row r="24" spans="1:4" x14ac:dyDescent="0.35">
      <c r="A24" s="3" t="s">
        <v>371</v>
      </c>
      <c r="B24" s="3"/>
      <c r="C24" s="3"/>
    </row>
    <row r="25" spans="1:4" x14ac:dyDescent="0.35">
      <c r="A25" s="5" t="s">
        <v>372</v>
      </c>
      <c r="B25" s="8"/>
      <c r="C25" s="8">
        <f>'2025 BS'!B25</f>
        <v>5546.04</v>
      </c>
      <c r="D25" s="8">
        <v>9068.1299999999992</v>
      </c>
    </row>
    <row r="26" spans="1:4" x14ac:dyDescent="0.35">
      <c r="A26" s="6" t="s">
        <v>373</v>
      </c>
      <c r="B26" s="9"/>
      <c r="C26" s="9">
        <f>C24+C25</f>
        <v>5546.04</v>
      </c>
      <c r="D26" s="9">
        <f>D24+D25</f>
        <v>9068.1299999999992</v>
      </c>
    </row>
    <row r="27" spans="1:4" x14ac:dyDescent="0.35">
      <c r="A27" s="4" t="s">
        <v>374</v>
      </c>
      <c r="B27" s="9"/>
      <c r="C27" s="9">
        <f>C6+C20+C23+C26</f>
        <v>528856.78</v>
      </c>
      <c r="D27" s="9">
        <f>D6+D20+D23+D26</f>
        <v>186990.44</v>
      </c>
    </row>
    <row r="28" spans="1:4" x14ac:dyDescent="0.35">
      <c r="A28" s="2" t="s">
        <v>375</v>
      </c>
      <c r="B28" s="2"/>
      <c r="C28" s="2"/>
    </row>
    <row r="29" spans="1:4" x14ac:dyDescent="0.35">
      <c r="A29" s="3" t="s">
        <v>376</v>
      </c>
      <c r="B29" s="3"/>
      <c r="C29" s="3"/>
    </row>
    <row r="30" spans="1:4" x14ac:dyDescent="0.35">
      <c r="A30" s="5" t="s">
        <v>377</v>
      </c>
      <c r="B30" s="5"/>
      <c r="C30" s="5"/>
    </row>
    <row r="31" spans="1:4" x14ac:dyDescent="0.35">
      <c r="A31" s="175" t="s">
        <v>378</v>
      </c>
      <c r="B31" s="175"/>
      <c r="C31" s="175"/>
    </row>
    <row r="32" spans="1:4" x14ac:dyDescent="0.35">
      <c r="A32" s="177" t="s">
        <v>379</v>
      </c>
      <c r="B32" s="10">
        <f>'2024 BS'!B21</f>
        <v>0</v>
      </c>
      <c r="C32" s="10">
        <f>'2025 BS'!B32</f>
        <v>0</v>
      </c>
      <c r="D32" s="10">
        <v>0</v>
      </c>
    </row>
    <row r="33" spans="1:4" x14ac:dyDescent="0.35">
      <c r="A33" s="177" t="s">
        <v>380</v>
      </c>
      <c r="B33" s="8">
        <f>'2024 BS'!B22</f>
        <v>4021.45</v>
      </c>
      <c r="C33" s="8">
        <f>'2025 BS'!B33</f>
        <v>49.42</v>
      </c>
      <c r="D33" s="8">
        <v>5226.16</v>
      </c>
    </row>
    <row r="34" spans="1:4" x14ac:dyDescent="0.35">
      <c r="A34" s="178" t="s">
        <v>381</v>
      </c>
      <c r="B34" s="9">
        <f>B31+B32+B33</f>
        <v>4021.45</v>
      </c>
      <c r="C34" s="9">
        <f>C31+C32+C33</f>
        <v>49.42</v>
      </c>
      <c r="D34" s="9">
        <f>D31+D32+D33</f>
        <v>5226.16</v>
      </c>
    </row>
    <row r="35" spans="1:4" x14ac:dyDescent="0.35">
      <c r="A35" s="175" t="s">
        <v>382</v>
      </c>
      <c r="B35" s="175"/>
      <c r="C35" s="175"/>
    </row>
    <row r="36" spans="1:4" x14ac:dyDescent="0.35">
      <c r="A36" s="177" t="s">
        <v>383</v>
      </c>
      <c r="B36" s="8">
        <f>'2024 BS'!B25</f>
        <v>-45847.39</v>
      </c>
      <c r="C36" s="8">
        <f>'2025 BS'!B36</f>
        <v>-281589.90999999997</v>
      </c>
      <c r="D36" s="8">
        <v>-537588.19999999995</v>
      </c>
    </row>
    <row r="37" spans="1:4" x14ac:dyDescent="0.35">
      <c r="A37" s="177" t="s">
        <v>384</v>
      </c>
      <c r="B37" s="8">
        <f>'2024 BS'!B26</f>
        <v>175314.78</v>
      </c>
      <c r="C37" s="8">
        <f>'2025 BS'!B37</f>
        <v>788471.17</v>
      </c>
      <c r="D37" s="8">
        <v>619137.61</v>
      </c>
    </row>
    <row r="38" spans="1:4" x14ac:dyDescent="0.35">
      <c r="A38" s="178" t="s">
        <v>385</v>
      </c>
      <c r="B38" s="9">
        <f>B35+B36+B37</f>
        <v>129467.39</v>
      </c>
      <c r="C38" s="9">
        <f>C35+C36+C37</f>
        <v>506881.26000000007</v>
      </c>
      <c r="D38" s="9">
        <f>D35+D36+D37</f>
        <v>81549.410000000033</v>
      </c>
    </row>
    <row r="39" spans="1:4" x14ac:dyDescent="0.35">
      <c r="A39" s="176" t="s">
        <v>386</v>
      </c>
      <c r="B39" s="9">
        <f>B30+B34+B38</f>
        <v>133488.84</v>
      </c>
      <c r="C39" s="9">
        <f>C30+C34+C38</f>
        <v>506930.68000000005</v>
      </c>
      <c r="D39" s="9">
        <f>D30+D34+D38</f>
        <v>86775.570000000036</v>
      </c>
    </row>
    <row r="40" spans="1:4" x14ac:dyDescent="0.35">
      <c r="A40" s="6" t="s">
        <v>387</v>
      </c>
      <c r="B40" s="9">
        <f>B29+B39</f>
        <v>133488.84</v>
      </c>
      <c r="C40" s="9">
        <f>C29+C39</f>
        <v>506930.68000000005</v>
      </c>
      <c r="D40" s="9">
        <f>D29+D39</f>
        <v>86775.570000000036</v>
      </c>
    </row>
    <row r="41" spans="1:4" x14ac:dyDescent="0.35">
      <c r="A41" s="3" t="s">
        <v>388</v>
      </c>
      <c r="B41" s="3"/>
      <c r="C41" s="3"/>
    </row>
    <row r="42" spans="1:4" x14ac:dyDescent="0.35">
      <c r="A42" s="5" t="s">
        <v>389</v>
      </c>
      <c r="B42" s="10">
        <f>'2024 BS'!B31</f>
        <v>0</v>
      </c>
      <c r="C42" s="10">
        <f>'2025 BS'!B42</f>
        <v>0</v>
      </c>
      <c r="D42" s="10">
        <v>0</v>
      </c>
    </row>
    <row r="43" spans="1:4" x14ac:dyDescent="0.35">
      <c r="A43" s="5" t="s">
        <v>390</v>
      </c>
      <c r="B43" s="8"/>
      <c r="C43" s="8">
        <f>'2025 BS'!B43</f>
        <v>0</v>
      </c>
      <c r="D43" s="8">
        <v>-60000</v>
      </c>
    </row>
    <row r="44" spans="1:4" x14ac:dyDescent="0.35">
      <c r="A44" s="175" t="s">
        <v>391</v>
      </c>
      <c r="B44" s="8"/>
      <c r="C44" s="8">
        <f>'2025 BS'!B44</f>
        <v>-3051.63</v>
      </c>
      <c r="D44" s="8">
        <v>-3051.63</v>
      </c>
    </row>
    <row r="45" spans="1:4" x14ac:dyDescent="0.35">
      <c r="A45" s="176" t="s">
        <v>392</v>
      </c>
      <c r="B45" s="9">
        <f>B43+B44</f>
        <v>0</v>
      </c>
      <c r="C45" s="9">
        <f>C43+C44</f>
        <v>-3051.63</v>
      </c>
      <c r="D45" s="9">
        <f>D43+D44</f>
        <v>-63051.63</v>
      </c>
    </row>
    <row r="46" spans="1:4" x14ac:dyDescent="0.35">
      <c r="A46" s="5" t="s">
        <v>393</v>
      </c>
      <c r="B46" s="8"/>
      <c r="C46" s="8">
        <f>'2025 BS'!B46</f>
        <v>28229.319999999996</v>
      </c>
      <c r="D46" s="8">
        <v>24977.130000000099</v>
      </c>
    </row>
    <row r="47" spans="1:4" x14ac:dyDescent="0.35">
      <c r="A47" s="5" t="s">
        <v>58</v>
      </c>
      <c r="B47" s="8">
        <f>'2024 BS'!B33</f>
        <v>28229.319999999992</v>
      </c>
      <c r="C47" s="8">
        <f>'2025 BS'!B47</f>
        <v>-3251.5899999999697</v>
      </c>
      <c r="D47" s="8">
        <v>138289.37000000011</v>
      </c>
    </row>
    <row r="48" spans="1:4" x14ac:dyDescent="0.35">
      <c r="A48" s="6" t="s">
        <v>394</v>
      </c>
      <c r="B48" s="9">
        <f>B41+B42+B45+B46+B47</f>
        <v>28229.319999999992</v>
      </c>
      <c r="C48" s="9">
        <f>C41+C42+C45+C46+C47</f>
        <v>21926.100000000024</v>
      </c>
      <c r="D48" s="9">
        <f>D41+D42+D45+D46+D47</f>
        <v>100214.87000000021</v>
      </c>
    </row>
    <row r="49" spans="1:4" x14ac:dyDescent="0.35">
      <c r="A49" s="4" t="s">
        <v>395</v>
      </c>
      <c r="B49" s="9">
        <f>B28+B40+B48</f>
        <v>161718.15999999997</v>
      </c>
      <c r="C49" s="9">
        <f>C28+C40+C48</f>
        <v>528856.78</v>
      </c>
      <c r="D49" s="9">
        <f>D28+D40+D48</f>
        <v>186990.44000000024</v>
      </c>
    </row>
    <row r="51" spans="1:4" ht="105" x14ac:dyDescent="0.35">
      <c r="A51" s="295" t="s">
        <v>673</v>
      </c>
    </row>
    <row r="53" spans="1:4" x14ac:dyDescent="0.35">
      <c r="A53" s="363"/>
      <c r="B53" s="363"/>
      <c r="C53" s="363"/>
      <c r="D53" s="362"/>
    </row>
  </sheetData>
  <mergeCells count="4">
    <mergeCell ref="A1:D1"/>
    <mergeCell ref="A2:D2"/>
    <mergeCell ref="A3:D3"/>
    <mergeCell ref="A53:D53"/>
  </mergeCell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65D6D-5C9E-44AB-8188-CD1470BECEAD}">
  <dimension ref="A1:C52"/>
  <sheetViews>
    <sheetView workbookViewId="0">
      <selection activeCell="E23" sqref="E23"/>
    </sheetView>
  </sheetViews>
  <sheetFormatPr defaultColWidth="11.25" defaultRowHeight="15.5" x14ac:dyDescent="0.35"/>
  <cols>
    <col min="1" max="1" width="46.08203125" style="1" customWidth="1"/>
    <col min="2" max="3" width="16.08203125" style="1" customWidth="1"/>
  </cols>
  <sheetData>
    <row r="1" spans="1:3" ht="16" x14ac:dyDescent="0.4">
      <c r="A1" s="364" t="s">
        <v>0</v>
      </c>
      <c r="B1" s="362"/>
      <c r="C1" s="362"/>
    </row>
    <row r="2" spans="1:3" x14ac:dyDescent="0.35">
      <c r="A2" s="365" t="s">
        <v>396</v>
      </c>
      <c r="B2" s="362"/>
      <c r="C2" s="362"/>
    </row>
    <row r="3" spans="1:3" x14ac:dyDescent="0.35">
      <c r="A3" s="361" t="s">
        <v>352</v>
      </c>
      <c r="B3" s="362"/>
      <c r="C3" s="362"/>
    </row>
    <row r="5" spans="1:3" x14ac:dyDescent="0.35">
      <c r="A5" s="7" t="s">
        <v>397</v>
      </c>
      <c r="B5" s="7" t="s">
        <v>398</v>
      </c>
      <c r="C5" s="7" t="s">
        <v>399</v>
      </c>
    </row>
    <row r="6" spans="1:3" x14ac:dyDescent="0.35">
      <c r="A6" s="2" t="s">
        <v>356</v>
      </c>
      <c r="B6" s="8">
        <v>117004.95000000007</v>
      </c>
      <c r="C6" s="11"/>
    </row>
    <row r="7" spans="1:3" x14ac:dyDescent="0.35">
      <c r="A7" s="2" t="s">
        <v>357</v>
      </c>
      <c r="B7" s="8">
        <v>32739.540000000037</v>
      </c>
      <c r="C7" s="11"/>
    </row>
    <row r="8" spans="1:3" x14ac:dyDescent="0.35">
      <c r="A8" s="2" t="s">
        <v>358</v>
      </c>
      <c r="B8" s="8">
        <v>13293.71</v>
      </c>
      <c r="C8" s="11"/>
    </row>
    <row r="9" spans="1:3" x14ac:dyDescent="0.35">
      <c r="A9" s="2" t="s">
        <v>359</v>
      </c>
      <c r="B9" s="11"/>
      <c r="C9" s="8">
        <v>13293.71</v>
      </c>
    </row>
    <row r="10" spans="1:3" x14ac:dyDescent="0.35">
      <c r="A10" s="2" t="s">
        <v>362</v>
      </c>
      <c r="B10" s="8">
        <v>25944.11999999918</v>
      </c>
      <c r="C10" s="11"/>
    </row>
    <row r="11" spans="1:3" x14ac:dyDescent="0.35">
      <c r="A11" s="2" t="s">
        <v>365</v>
      </c>
      <c r="B11" s="11"/>
      <c r="C11" s="8">
        <v>0</v>
      </c>
    </row>
    <row r="12" spans="1:3" x14ac:dyDescent="0.35">
      <c r="A12" s="2" t="s">
        <v>369</v>
      </c>
      <c r="B12" s="8">
        <v>2233.6999999999998</v>
      </c>
      <c r="C12" s="11"/>
    </row>
    <row r="13" spans="1:3" x14ac:dyDescent="0.35">
      <c r="A13" s="2" t="s">
        <v>372</v>
      </c>
      <c r="B13" s="8">
        <v>9068.1299999999992</v>
      </c>
      <c r="C13" s="11"/>
    </row>
    <row r="14" spans="1:3" x14ac:dyDescent="0.35">
      <c r="A14" s="2" t="s">
        <v>379</v>
      </c>
      <c r="B14" s="11"/>
      <c r="C14" s="8">
        <v>0</v>
      </c>
    </row>
    <row r="15" spans="1:3" x14ac:dyDescent="0.35">
      <c r="A15" s="2" t="s">
        <v>380</v>
      </c>
      <c r="B15" s="11"/>
      <c r="C15" s="8">
        <v>5226.1599999999889</v>
      </c>
    </row>
    <row r="16" spans="1:3" x14ac:dyDescent="0.35">
      <c r="A16" s="2" t="s">
        <v>383</v>
      </c>
      <c r="B16" s="8">
        <v>537588.19999999995</v>
      </c>
      <c r="C16" s="11"/>
    </row>
    <row r="17" spans="1:3" x14ac:dyDescent="0.35">
      <c r="A17" s="2" t="s">
        <v>384</v>
      </c>
      <c r="B17" s="11"/>
      <c r="C17" s="8">
        <v>619137.6099999994</v>
      </c>
    </row>
    <row r="18" spans="1:3" x14ac:dyDescent="0.35">
      <c r="A18" s="2" t="s">
        <v>389</v>
      </c>
      <c r="B18" s="11"/>
      <c r="C18" s="8">
        <v>0</v>
      </c>
    </row>
    <row r="19" spans="1:3" x14ac:dyDescent="0.35">
      <c r="A19" s="2" t="s">
        <v>390</v>
      </c>
      <c r="B19" s="8">
        <v>60000</v>
      </c>
      <c r="C19" s="11"/>
    </row>
    <row r="20" spans="1:3" x14ac:dyDescent="0.35">
      <c r="A20" s="2" t="s">
        <v>400</v>
      </c>
      <c r="B20" s="8">
        <v>3051.63</v>
      </c>
      <c r="C20" s="11"/>
    </row>
    <row r="21" spans="1:3" x14ac:dyDescent="0.35">
      <c r="A21" s="2" t="s">
        <v>393</v>
      </c>
      <c r="B21" s="11"/>
      <c r="C21" s="8">
        <v>24977.130000000117</v>
      </c>
    </row>
    <row r="22" spans="1:3" x14ac:dyDescent="0.35">
      <c r="A22" s="2" t="s">
        <v>2</v>
      </c>
      <c r="B22" s="11"/>
      <c r="C22" s="8">
        <v>370287.27999999997</v>
      </c>
    </row>
    <row r="23" spans="1:3" x14ac:dyDescent="0.35">
      <c r="A23" s="2" t="s">
        <v>7</v>
      </c>
      <c r="B23" s="8">
        <v>1454.63</v>
      </c>
      <c r="C23" s="11"/>
    </row>
    <row r="24" spans="1:3" x14ac:dyDescent="0.35">
      <c r="A24" s="2" t="s">
        <v>8</v>
      </c>
      <c r="B24" s="8">
        <v>5850</v>
      </c>
      <c r="C24" s="11"/>
    </row>
    <row r="25" spans="1:3" x14ac:dyDescent="0.35">
      <c r="A25" s="2" t="s">
        <v>401</v>
      </c>
      <c r="B25" s="8">
        <v>2300</v>
      </c>
      <c r="C25" s="11"/>
    </row>
    <row r="26" spans="1:3" x14ac:dyDescent="0.35">
      <c r="A26" s="2" t="s">
        <v>402</v>
      </c>
      <c r="B26" s="8">
        <v>16.309999999999999</v>
      </c>
      <c r="C26" s="11"/>
    </row>
    <row r="27" spans="1:3" x14ac:dyDescent="0.35">
      <c r="A27" s="2" t="s">
        <v>403</v>
      </c>
      <c r="B27" s="8">
        <v>5725</v>
      </c>
      <c r="C27" s="11"/>
    </row>
    <row r="28" spans="1:3" x14ac:dyDescent="0.35">
      <c r="A28" s="2" t="s">
        <v>18</v>
      </c>
      <c r="B28" s="8">
        <v>5995.83</v>
      </c>
      <c r="C28" s="11"/>
    </row>
    <row r="29" spans="1:3" x14ac:dyDescent="0.35">
      <c r="A29" s="2" t="s">
        <v>19</v>
      </c>
      <c r="B29" s="8">
        <v>97.85</v>
      </c>
      <c r="C29" s="11"/>
    </row>
    <row r="30" spans="1:3" x14ac:dyDescent="0.35">
      <c r="A30" s="2" t="s">
        <v>404</v>
      </c>
      <c r="B30" s="8">
        <v>1875</v>
      </c>
      <c r="C30" s="11"/>
    </row>
    <row r="31" spans="1:3" x14ac:dyDescent="0.35">
      <c r="A31" s="2" t="s">
        <v>405</v>
      </c>
      <c r="B31" s="8">
        <v>2210</v>
      </c>
      <c r="C31" s="11"/>
    </row>
    <row r="32" spans="1:3" x14ac:dyDescent="0.35">
      <c r="A32" s="2" t="s">
        <v>23</v>
      </c>
      <c r="B32" s="8">
        <v>3649.29</v>
      </c>
      <c r="C32" s="11"/>
    </row>
    <row r="33" spans="1:3" x14ac:dyDescent="0.35">
      <c r="A33" s="2" t="s">
        <v>406</v>
      </c>
      <c r="B33" s="8">
        <v>2149.87</v>
      </c>
      <c r="C33" s="11"/>
    </row>
    <row r="34" spans="1:3" x14ac:dyDescent="0.35">
      <c r="A34" s="2" t="s">
        <v>407</v>
      </c>
      <c r="B34" s="8">
        <v>2.5</v>
      </c>
      <c r="C34" s="11"/>
    </row>
    <row r="35" spans="1:3" x14ac:dyDescent="0.35">
      <c r="A35" s="2" t="s">
        <v>408</v>
      </c>
      <c r="B35" s="8">
        <v>15484.98</v>
      </c>
      <c r="C35" s="11"/>
    </row>
    <row r="36" spans="1:3" x14ac:dyDescent="0.35">
      <c r="A36" s="2" t="s">
        <v>409</v>
      </c>
      <c r="B36" s="8">
        <v>83333.399999999994</v>
      </c>
      <c r="C36" s="11"/>
    </row>
    <row r="37" spans="1:3" x14ac:dyDescent="0.35">
      <c r="A37" s="2" t="s">
        <v>410</v>
      </c>
      <c r="B37" s="8">
        <v>489.7</v>
      </c>
      <c r="C37" s="11"/>
    </row>
    <row r="38" spans="1:3" x14ac:dyDescent="0.35">
      <c r="A38" s="2" t="s">
        <v>411</v>
      </c>
      <c r="B38" s="8">
        <v>12951.3</v>
      </c>
      <c r="C38" s="11"/>
    </row>
    <row r="39" spans="1:3" x14ac:dyDescent="0.35">
      <c r="A39" s="2" t="s">
        <v>412</v>
      </c>
      <c r="B39" s="8">
        <v>67364.149999999994</v>
      </c>
      <c r="C39" s="11"/>
    </row>
    <row r="40" spans="1:3" x14ac:dyDescent="0.35">
      <c r="A40" s="2" t="s">
        <v>37</v>
      </c>
      <c r="B40" s="8">
        <v>2500</v>
      </c>
      <c r="C40" s="11"/>
    </row>
    <row r="41" spans="1:3" x14ac:dyDescent="0.35">
      <c r="A41" s="2" t="s">
        <v>38</v>
      </c>
      <c r="B41" s="8">
        <v>5882.4</v>
      </c>
      <c r="C41" s="11"/>
    </row>
    <row r="42" spans="1:3" x14ac:dyDescent="0.35">
      <c r="A42" s="2" t="s">
        <v>41</v>
      </c>
      <c r="B42" s="11"/>
      <c r="C42" s="11"/>
    </row>
    <row r="43" spans="1:3" x14ac:dyDescent="0.35">
      <c r="A43" s="2" t="s">
        <v>413</v>
      </c>
      <c r="B43" s="8">
        <v>8845.93</v>
      </c>
      <c r="C43" s="11"/>
    </row>
    <row r="44" spans="1:3" x14ac:dyDescent="0.35">
      <c r="A44" s="2" t="s">
        <v>414</v>
      </c>
      <c r="B44" s="8">
        <v>2523.87</v>
      </c>
      <c r="C44" s="11"/>
    </row>
    <row r="45" spans="1:3" x14ac:dyDescent="0.35">
      <c r="A45" s="2" t="s">
        <v>415</v>
      </c>
      <c r="B45" s="8">
        <v>1068.75</v>
      </c>
      <c r="C45" s="11"/>
    </row>
    <row r="46" spans="1:3" x14ac:dyDescent="0.35">
      <c r="A46" s="2" t="s">
        <v>416</v>
      </c>
      <c r="B46" s="8">
        <v>175</v>
      </c>
      <c r="C46" s="11"/>
    </row>
    <row r="47" spans="1:3" x14ac:dyDescent="0.35">
      <c r="A47" s="2" t="s">
        <v>417</v>
      </c>
      <c r="B47" s="8">
        <v>52.15</v>
      </c>
      <c r="C47" s="11"/>
    </row>
    <row r="48" spans="1:3" x14ac:dyDescent="0.35">
      <c r="A48" s="179" t="s">
        <v>418</v>
      </c>
      <c r="B48" s="9">
        <f>B6+B7+B8+B9+B10+B11+B12+B13+B14+B15+B16+B17+B18+B19+B20+B21+B22+B23+B24+B25+B26+B27+B28+B29+B30+B31+B32+B33+B34+B35+B36+B37+B38+B39+B40+B41+B42+B43+B44+B45+B46+B47</f>
        <v>1032921.8899999994</v>
      </c>
      <c r="C48" s="9">
        <f>C6+C7+C8+C9+C10+C11+C12+C13+C14+C15+C16+C17+C18+C19+C20+C21+C22+C23+C24+C25+C26+C27+C28+C29+C30+C31+C32+C33+C34+C35+C36+C37+C38+C39+C40+C41+C42+C43+C44+C45+C46+C47</f>
        <v>1032921.8899999994</v>
      </c>
    </row>
    <row r="52" spans="1:3" x14ac:dyDescent="0.35">
      <c r="A52" s="363" t="s">
        <v>419</v>
      </c>
      <c r="B52" s="362"/>
      <c r="C52" s="362"/>
    </row>
  </sheetData>
  <mergeCells count="4">
    <mergeCell ref="A1:C1"/>
    <mergeCell ref="A2:C2"/>
    <mergeCell ref="A3:C3"/>
    <mergeCell ref="A52:C52"/>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3</vt:i4>
      </vt:variant>
    </vt:vector>
  </HeadingPairs>
  <TitlesOfParts>
    <vt:vector size="14" baseType="lpstr">
      <vt:lpstr>Project Rocky</vt:lpstr>
      <vt:lpstr>Top Client Accounts</vt:lpstr>
      <vt:lpstr>Top Wholesalers</vt:lpstr>
      <vt:lpstr>Pro Forma Financials</vt:lpstr>
      <vt:lpstr>Book of Business</vt:lpstr>
      <vt:lpstr>Employee Roster</vt:lpstr>
      <vt:lpstr>June-26 TTM </vt:lpstr>
      <vt:lpstr>2024 BS</vt:lpstr>
      <vt:lpstr>2025 BS</vt:lpstr>
      <vt:lpstr>Trending Balance Sheet</vt:lpstr>
      <vt:lpstr>Trial Balance</vt:lpstr>
      <vt:lpstr>'Employee Roster'!Print_Area</vt:lpstr>
      <vt:lpstr>'Pro Forma Financials'!Print_Area</vt:lpstr>
      <vt:lpstr>'Pro Forma Financials'!Print_Titles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Sahni, Subhadra (MMA)</cp:lastModifiedBy>
  <dcterms:created xsi:type="dcterms:W3CDTF">2022-03-24T08:55:57Z</dcterms:created>
  <dcterms:modified xsi:type="dcterms:W3CDTF">2026-09-02T21:21:56Z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2026-08-13T00:14:09Z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4a5d7699-842a-4ea1-a75e-64a8306120b0</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