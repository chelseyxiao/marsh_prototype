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</calcChain>
</file>

<file path=xl/sharedStrings.xml><?xml version="1.0" encoding="utf-8"?>
<sst xmlns="http://schemas.openxmlformats.org/spreadsheetml/2006/main" count="47" uniqueCount="47">
  <si>
    <t>Precision Brokers, LLC</t>
  </si>
  <si>
    <t>Profit and Loss</t>
  </si>
  <si>
    <t>January-December, 2024</t>
  </si>
  <si>
    <t>Income</t>
  </si>
  <si>
    <t>Sales</t>
  </si>
  <si>
    <t>Total for Income</t>
  </si>
  <si>
    <t>Gross Profit</t>
  </si>
  <si>
    <t>Expenses</t>
  </si>
  <si>
    <t>Business licenses</t>
  </si>
  <si>
    <t>chase A# 6000</t>
  </si>
  <si>
    <t>Contributions to charities</t>
  </si>
  <si>
    <t>General business expenses</t>
  </si>
  <si>
    <t>Bank fees &amp; service charges</t>
  </si>
  <si>
    <t>Continuing education</t>
  </si>
  <si>
    <t>Total for General business expenses</t>
  </si>
  <si>
    <t>Insurance</t>
  </si>
  <si>
    <t>Business insurance</t>
  </si>
  <si>
    <t>Total for Insurance</t>
  </si>
  <si>
    <t>Legal &amp; accounting services</t>
  </si>
  <si>
    <t>Accounting fees</t>
  </si>
  <si>
    <t>Total for Legal &amp; accounting services</t>
  </si>
  <si>
    <t>Meals</t>
  </si>
  <si>
    <t>Office expenses</t>
  </si>
  <si>
    <t>Office supplies</t>
  </si>
  <si>
    <t>Shipping &amp; postage</t>
  </si>
  <si>
    <t>Software, IT &amp; apps</t>
  </si>
  <si>
    <t>Total for Office expenses</t>
  </si>
  <si>
    <t>Payroll expenses</t>
  </si>
  <si>
    <t>Staff Wages</t>
  </si>
  <si>
    <t>Total for Payroll expenses</t>
  </si>
  <si>
    <t>Travel</t>
  </si>
  <si>
    <t>Airfare</t>
  </si>
  <si>
    <t>Hotels</t>
  </si>
  <si>
    <t>Taxis or shared rides</t>
  </si>
  <si>
    <t>Total for Travel</t>
  </si>
  <si>
    <t>Total for Expenses</t>
  </si>
  <si>
    <t>Net Operating Income</t>
  </si>
  <si>
    <t>Other Expenses</t>
  </si>
  <si>
    <t>Vehicle expenses</t>
  </si>
  <si>
    <t>Vehicle repairs</t>
  </si>
  <si>
    <t>Total for Vehicle expenses</t>
  </si>
  <si>
    <t>Total for Other Expenses</t>
  </si>
  <si>
    <t>Net Other Income</t>
  </si>
  <si>
    <t>Net Income</t>
  </si>
  <si>
    <t/>
  </si>
  <si>
    <t>Total</t>
  </si>
  <si>
    <t>Accrual Basis Wednesday, July 29, 2026 11:40 AM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</si>
</sst>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50"/>
  <sheetViews>
    <sheetView tabSelected="1" workbookViewId="0" topLeftCell="A1"/>
  </sheetViews>
  <sheetFormatPr defaultColWidth="11.255" defaultRowHeight="16"/>
  <cols>
    <col min="1" max="1" width="32.375" style="33" customWidth="1"/>
    <col min="2" max="2" width="16.125" style="33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2" ht="16">
      <c r="A5" s="35" t="s">
        <v>44</v>
      </c>
      <c r="B5" s="39" t="s">
        <v>45</v>
      </c>
    </row>
    <row r="6" spans="1:1" ht="16">
      <c r="A6" s="28" t="s">
        <v>3</v>
      </c>
    </row>
    <row r="7" spans="1:2" ht="16">
      <c r="A7" s="29" t="s">
        <v>4</v>
      </c>
      <c r="B7" s="36">
        <v>50847.39</v>
      </c>
    </row>
    <row r="8" spans="1:2" ht="16">
      <c r="A8" s="30" t="s">
        <v>5</v>
      </c>
      <c r="B8" s="37">
        <f>B6+B7</f>
        <v>50847.39</v>
      </c>
    </row>
    <row r="9" spans="1:2" ht="16">
      <c r="A9" s="30" t="s">
        <v>6</v>
      </c>
      <c r="B9" s="37">
        <f>B8-0</f>
        <v>50847.39</v>
      </c>
    </row>
    <row r="10" spans="1:1" ht="16">
      <c r="A10" s="28" t="s">
        <v>7</v>
      </c>
    </row>
    <row r="11" spans="1:2" ht="16">
      <c r="A11" s="29" t="s">
        <v>8</v>
      </c>
      <c r="B11" s="36">
        <v>2170.3</v>
      </c>
    </row>
    <row r="12" spans="1:2" ht="16">
      <c r="A12" s="29" t="s">
        <v>9</v>
      </c>
      <c r="B12" s="36">
        <v>64.11</v>
      </c>
    </row>
    <row r="13" spans="1:2" ht="16">
      <c r="A13" s="29" t="s">
        <v>10</v>
      </c>
      <c r="B13" s="36">
        <v>29.08</v>
      </c>
    </row>
    <row r="14" spans="1:2" ht="16">
      <c r="A14" s="29" t="s">
        <v>11</v>
      </c>
      <c r="B14" s="38"/>
    </row>
    <row r="15" spans="1:2" ht="16">
      <c r="A15" s="31" t="s">
        <v>12</v>
      </c>
      <c r="B15" s="36">
        <v>30.0</v>
      </c>
    </row>
    <row r="16" spans="1:2" ht="16">
      <c r="A16" s="31" t="s">
        <v>13</v>
      </c>
      <c r="B16" s="36">
        <v>169.95</v>
      </c>
    </row>
    <row r="17" spans="1:2" ht="16">
      <c r="A17" s="32" t="s">
        <v>14</v>
      </c>
      <c r="B17" s="37">
        <f>B14+B15+B16</f>
        <v>199.95</v>
      </c>
    </row>
    <row r="18" spans="1:2" ht="16">
      <c r="A18" s="29" t="s">
        <v>15</v>
      </c>
      <c r="B18" s="38"/>
    </row>
    <row r="19" spans="1:2" ht="16">
      <c r="A19" s="31" t="s">
        <v>16</v>
      </c>
      <c r="B19" s="36">
        <v>4078.25</v>
      </c>
    </row>
    <row r="20" spans="1:2" ht="16">
      <c r="A20" s="32" t="s">
        <v>17</v>
      </c>
      <c r="B20" s="37">
        <f>B18+B19</f>
        <v>4078.25</v>
      </c>
    </row>
    <row r="21" spans="1:2" ht="16">
      <c r="A21" s="29" t="s">
        <v>18</v>
      </c>
      <c r="B21" s="38"/>
    </row>
    <row r="22" spans="1:2" ht="16">
      <c r="A22" s="31" t="s">
        <v>19</v>
      </c>
      <c r="B22" s="36">
        <v>1977.5</v>
      </c>
    </row>
    <row r="23" spans="1:2" ht="16">
      <c r="A23" s="32" t="s">
        <v>20</v>
      </c>
      <c r="B23" s="37">
        <f>B21+B22</f>
        <v>1977.5</v>
      </c>
    </row>
    <row r="24" spans="1:2" ht="16">
      <c r="A24" s="29" t="s">
        <v>21</v>
      </c>
      <c r="B24" s="36">
        <v>445.94</v>
      </c>
    </row>
    <row r="25" spans="1:2" ht="16">
      <c r="A25" s="29" t="s">
        <v>22</v>
      </c>
      <c r="B25" s="38"/>
    </row>
    <row r="26" spans="1:2" ht="16">
      <c r="A26" s="31" t="s">
        <v>23</v>
      </c>
      <c r="B26" s="36">
        <v>286.55</v>
      </c>
    </row>
    <row r="27" spans="1:2" ht="16">
      <c r="A27" s="31" t="s">
        <v>24</v>
      </c>
      <c r="B27" s="36">
        <v>15.0</v>
      </c>
    </row>
    <row r="28" spans="1:2" ht="16">
      <c r="A28" s="31" t="s">
        <v>25</v>
      </c>
      <c r="B28" s="36">
        <v>3647.51</v>
      </c>
    </row>
    <row r="29" spans="1:2" ht="16">
      <c r="A29" s="32" t="s">
        <v>26</v>
      </c>
      <c r="B29" s="37">
        <f>B25+B26+B27+B28</f>
        <v>3949.0600000000004</v>
      </c>
    </row>
    <row r="30" spans="1:2" ht="16">
      <c r="A30" s="29" t="s">
        <v>27</v>
      </c>
      <c r="B30" s="38"/>
    </row>
    <row r="31" spans="1:2" ht="16">
      <c r="A31" s="31" t="s">
        <v>28</v>
      </c>
      <c r="B31" s="36">
        <v>3390.75</v>
      </c>
    </row>
    <row r="32" spans="1:2" ht="16">
      <c r="A32" s="32" t="s">
        <v>29</v>
      </c>
      <c r="B32" s="37">
        <f>B30+B31</f>
        <v>3390.75</v>
      </c>
    </row>
    <row r="33" spans="1:2" ht="16">
      <c r="A33" s="29" t="s">
        <v>30</v>
      </c>
      <c r="B33" s="38"/>
    </row>
    <row r="34" spans="1:2" ht="16">
      <c r="A34" s="31" t="s">
        <v>31</v>
      </c>
      <c r="B34" s="36">
        <v>425.27</v>
      </c>
    </row>
    <row r="35" spans="1:2" ht="16">
      <c r="A35" s="31" t="s">
        <v>32</v>
      </c>
      <c r="B35" s="36">
        <v>565.56</v>
      </c>
    </row>
    <row r="36" spans="1:2" ht="16">
      <c r="A36" s="31" t="s">
        <v>33</v>
      </c>
      <c r="B36" s="36">
        <v>322.3</v>
      </c>
    </row>
    <row r="37" spans="1:2" ht="16">
      <c r="A37" s="32" t="s">
        <v>34</v>
      </c>
      <c r="B37" s="37">
        <f>B33+B34+B35+B36</f>
        <v>1313.1299999999999</v>
      </c>
    </row>
    <row r="38" spans="1:2" ht="16">
      <c r="A38" s="30" t="s">
        <v>35</v>
      </c>
      <c r="B38" s="37">
        <f>B10+B11+B12+B13+B17+B20+B23+B24+B29+B32+B37</f>
        <v>17618.070000000003</v>
      </c>
    </row>
    <row r="39" spans="1:2" ht="16">
      <c r="A39" s="30" t="s">
        <v>36</v>
      </c>
      <c r="B39" s="37">
        <f>B9-B38</f>
        <v>33229.31999999999</v>
      </c>
    </row>
    <row r="40" spans="1:1" ht="16">
      <c r="A40" s="28" t="s">
        <v>37</v>
      </c>
    </row>
    <row r="41" spans="1:2" ht="16">
      <c r="A41" s="29" t="s">
        <v>38</v>
      </c>
      <c r="B41" s="38"/>
    </row>
    <row r="42" spans="1:2" ht="16">
      <c r="A42" s="31" t="s">
        <v>39</v>
      </c>
      <c r="B42" s="36">
        <v>5000.0</v>
      </c>
    </row>
    <row r="43" spans="1:2" ht="16">
      <c r="A43" s="32" t="s">
        <v>40</v>
      </c>
      <c r="B43" s="37">
        <f>B41+B42</f>
        <v>5000.0</v>
      </c>
    </row>
    <row r="44" spans="1:2" ht="16">
      <c r="A44" s="30" t="s">
        <v>41</v>
      </c>
      <c r="B44" s="37">
        <f>B40+B43</f>
        <v>5000.0</v>
      </c>
    </row>
    <row r="45" spans="1:2" ht="16">
      <c r="A45" s="30" t="s">
        <v>42</v>
      </c>
      <c r="B45" s="37">
        <f>0-B44</f>
        <v>-5000.0</v>
      </c>
    </row>
    <row r="46" spans="1:2" ht="16">
      <c r="A46" s="30" t="s">
        <v>43</v>
      </c>
      <c r="B46" s="37">
        <f>B39+B45</f>
        <v>28229.319999999992</v>
      </c>
    </row>
    <row r="50" spans="1:1" ht="16">
      <c r="A50" s="40" t="s">
        <v>46</v>
      </c>
    </row>
  </sheetData>
  <mergeCells count="4">
    <mergeCell ref="A1:B1"/>
    <mergeCell ref="A2:B2"/>
    <mergeCell ref="A3:B3"/>
    <mergeCell ref="A50:B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