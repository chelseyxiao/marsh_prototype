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ki\Downloads\"/>
    </mc:Choice>
  </mc:AlternateContent>
  <xr:revisionPtr revIDLastSave="0" documentId="8_{BBC5B75C-C199-42A4-9447-A435231F90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5" i="1"/>
  <c r="B38" i="1"/>
  <c r="B39" i="1" s="1"/>
  <c r="B40" i="1" s="1"/>
  <c r="B49" i="1" s="1"/>
  <c r="B34" i="1"/>
  <c r="B26" i="1"/>
  <c r="B23" i="1"/>
  <c r="B19" i="1"/>
  <c r="B16" i="1"/>
  <c r="B13" i="1"/>
  <c r="B20" i="1" s="1"/>
  <c r="B27" i="1" s="1"/>
</calcChain>
</file>

<file path=xl/sharedStrings.xml><?xml version="1.0" encoding="utf-8"?>
<sst xmlns="http://schemas.openxmlformats.org/spreadsheetml/2006/main" count="50" uniqueCount="50">
  <si>
    <t>Precision Brokers, LLC</t>
  </si>
  <si>
    <t>Balance Sheet</t>
  </si>
  <si>
    <t>As of Jun 30, 2026</t>
  </si>
  <si>
    <t>Assets</t>
  </si>
  <si>
    <t>Current Assets</t>
  </si>
  <si>
    <t>Bank Accounts</t>
  </si>
  <si>
    <t>Chase Business Operating 2157</t>
  </si>
  <si>
    <t>Chase Premium 5805</t>
  </si>
  <si>
    <t>Operating Cash (Trust Restricted)</t>
  </si>
  <si>
    <t>Operating Cash (Unrestricted)</t>
  </si>
  <si>
    <t>Total for Bank Accounts</t>
  </si>
  <si>
    <t>Accounts Receivable</t>
  </si>
  <si>
    <t>Accounts Receivable (A/R)</t>
  </si>
  <si>
    <t>Total for Accounts Receivable</t>
  </si>
  <si>
    <t>Other Current Assets</t>
  </si>
  <si>
    <t>Payments to deposit</t>
  </si>
  <si>
    <t>Total for Other Current Assets</t>
  </si>
  <si>
    <t>Total for Current Assets</t>
  </si>
  <si>
    <t>Fixed Assets</t>
  </si>
  <si>
    <t>Computer and Hardware</t>
  </si>
  <si>
    <t>Total for Fixed Assets</t>
  </si>
  <si>
    <t>Other Assets</t>
  </si>
  <si>
    <t>Security deposits</t>
  </si>
  <si>
    <t>Total for Other Assets</t>
  </si>
  <si>
    <t>Total for Assets</t>
  </si>
  <si>
    <t>Liabilities and Equity</t>
  </si>
  <si>
    <t>Liabilities</t>
  </si>
  <si>
    <t>Current Liabilities</t>
  </si>
  <si>
    <t>Credit Cards</t>
  </si>
  <si>
    <t>Chase - Brudnicki 8695</t>
  </si>
  <si>
    <t>Chase Credit Card - United 8687</t>
  </si>
  <si>
    <t>Total for Credit Cards</t>
  </si>
  <si>
    <t>Other Current Liabilities</t>
  </si>
  <si>
    <t>Commissions Due to Precision</t>
  </si>
  <si>
    <t>Insurance Premiums Owed</t>
  </si>
  <si>
    <t>Total for Other Current Liabilities</t>
  </si>
  <si>
    <t>Total for Current Liabilities</t>
  </si>
  <si>
    <t>Total for Liabilities</t>
  </si>
  <si>
    <t>Equity</t>
  </si>
  <si>
    <t>Opening balance equity</t>
  </si>
  <si>
    <t>Partner distributions</t>
  </si>
  <si>
    <t>Hannah Brudnicki</t>
  </si>
  <si>
    <t>Total for Partner distributions</t>
  </si>
  <si>
    <t>Retained Earnings</t>
  </si>
  <si>
    <t>Net Income</t>
  </si>
  <si>
    <t>Total for Equity</t>
  </si>
  <si>
    <t>Total for Liabilities and Equity</t>
  </si>
  <si>
    <t/>
  </si>
  <si>
    <t>Total</t>
  </si>
  <si>
    <t>Accrual Basis Monday, August 03, 2026 10:11 AM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</si>
</sst>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0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4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53"/>
  <sheetViews>
    <sheetView tabSelected="1" workbookViewId="0">
      <selection sqref="A1:B1"/>
    </sheetView>
  </sheetViews>
  <sheetFormatPr defaultColWidth="11.25" defaultRowHeight="15.75" x14ac:dyDescent="0.5"/>
  <cols>
    <col min="1" max="1" width="30.75" style="15" customWidth="1"/>
    <col min="2" max="2" width="16.125" style="15" customWidth="1"/>
  </cols>
  <sheetData>
    <row r="1" spans="1:2" x14ac:dyDescent="0.5">
      <c r="A1" s="5" t="s">
        <v>0</v>
      </c>
      <c r="B1" s="4"/>
    </row>
    <row r="2" spans="1:2" x14ac:dyDescent="0.5">
      <c r="A2" s="3" t="s">
        <v>1</v>
      </c>
      <c r="B2" s="4"/>
    </row>
    <row r="3" spans="1:2" x14ac:dyDescent="0.5">
      <c r="A3" s="2" t="s">
        <v>2</v>
      </c>
      <c r="B3" s="4"/>
    </row>
    <row r="5" spans="1:2" x14ac:dyDescent="0.5">
      <c r="A5" s="16" t="s">
        <v>47</v>
      </c>
      <c r="B5" s="16" t="s">
        <v>48</v>
      </c>
    </row>
    <row r="6" spans="1:2" x14ac:dyDescent="0.5">
      <c r="A6" s="6" t="s">
        <v>3</v>
      </c>
    </row>
    <row r="7" spans="1:2" x14ac:dyDescent="0.5">
      <c r="A7" s="7" t="s">
        <v>4</v>
      </c>
    </row>
    <row r="8" spans="1:2" x14ac:dyDescent="0.5">
      <c r="A8" s="8" t="s">
        <v>5</v>
      </c>
    </row>
    <row r="9" spans="1:2" x14ac:dyDescent="0.5">
      <c r="A9" s="9" t="s">
        <v>6</v>
      </c>
      <c r="B9" s="17">
        <v>117004.95</v>
      </c>
    </row>
    <row r="10" spans="1:2" x14ac:dyDescent="0.5">
      <c r="A10" s="9" t="s">
        <v>7</v>
      </c>
      <c r="B10" s="17">
        <v>32739.54</v>
      </c>
    </row>
    <row r="11" spans="1:2" x14ac:dyDescent="0.5">
      <c r="A11" s="9" t="s">
        <v>8</v>
      </c>
      <c r="B11" s="17">
        <v>13293.71</v>
      </c>
    </row>
    <row r="12" spans="1:2" x14ac:dyDescent="0.5">
      <c r="A12" s="9" t="s">
        <v>9</v>
      </c>
      <c r="B12" s="17">
        <v>-13293.71</v>
      </c>
    </row>
    <row r="13" spans="1:2" x14ac:dyDescent="0.5">
      <c r="A13" s="10" t="s">
        <v>10</v>
      </c>
      <c r="B13" s="18">
        <f>B8+B9+B10+B11+B12</f>
        <v>149744.49</v>
      </c>
    </row>
    <row r="14" spans="1:2" x14ac:dyDescent="0.5">
      <c r="A14" s="8" t="s">
        <v>11</v>
      </c>
    </row>
    <row r="15" spans="1:2" x14ac:dyDescent="0.5">
      <c r="A15" s="9" t="s">
        <v>12</v>
      </c>
      <c r="B15" s="17">
        <v>25944.12</v>
      </c>
    </row>
    <row r="16" spans="1:2" x14ac:dyDescent="0.5">
      <c r="A16" s="10" t="s">
        <v>13</v>
      </c>
      <c r="B16" s="18">
        <f>B14+B15</f>
        <v>25944.12</v>
      </c>
    </row>
    <row r="17" spans="1:2" x14ac:dyDescent="0.5">
      <c r="A17" s="8" t="s">
        <v>14</v>
      </c>
    </row>
    <row r="18" spans="1:2" x14ac:dyDescent="0.5">
      <c r="A18" s="9" t="s">
        <v>15</v>
      </c>
      <c r="B18" s="19">
        <v>0</v>
      </c>
    </row>
    <row r="19" spans="1:2" x14ac:dyDescent="0.5">
      <c r="A19" s="10" t="s">
        <v>16</v>
      </c>
      <c r="B19" s="18">
        <f>B17+B18</f>
        <v>0</v>
      </c>
    </row>
    <row r="20" spans="1:2" x14ac:dyDescent="0.5">
      <c r="A20" s="11" t="s">
        <v>17</v>
      </c>
      <c r="B20" s="18">
        <f>B7+B13+B16+B19</f>
        <v>175688.61</v>
      </c>
    </row>
    <row r="21" spans="1:2" x14ac:dyDescent="0.5">
      <c r="A21" s="7" t="s">
        <v>18</v>
      </c>
    </row>
    <row r="22" spans="1:2" x14ac:dyDescent="0.5">
      <c r="A22" s="8" t="s">
        <v>19</v>
      </c>
      <c r="B22" s="17">
        <v>2233.6999999999998</v>
      </c>
    </row>
    <row r="23" spans="1:2" x14ac:dyDescent="0.5">
      <c r="A23" s="11" t="s">
        <v>20</v>
      </c>
      <c r="B23" s="18">
        <f>B21+B22</f>
        <v>2233.6999999999998</v>
      </c>
    </row>
    <row r="24" spans="1:2" x14ac:dyDescent="0.5">
      <c r="A24" s="7" t="s">
        <v>21</v>
      </c>
    </row>
    <row r="25" spans="1:2" x14ac:dyDescent="0.5">
      <c r="A25" s="8" t="s">
        <v>22</v>
      </c>
      <c r="B25" s="17">
        <v>9068.1299999999992</v>
      </c>
    </row>
    <row r="26" spans="1:2" x14ac:dyDescent="0.5">
      <c r="A26" s="11" t="s">
        <v>23</v>
      </c>
      <c r="B26" s="18">
        <f>B24+B25</f>
        <v>9068.1299999999992</v>
      </c>
    </row>
    <row r="27" spans="1:2" x14ac:dyDescent="0.5">
      <c r="A27" s="12" t="s">
        <v>24</v>
      </c>
      <c r="B27" s="18">
        <f>B6+B20+B23+B26</f>
        <v>186990.44</v>
      </c>
    </row>
    <row r="28" spans="1:2" x14ac:dyDescent="0.5">
      <c r="A28" s="6" t="s">
        <v>25</v>
      </c>
    </row>
    <row r="29" spans="1:2" x14ac:dyDescent="0.5">
      <c r="A29" s="7" t="s">
        <v>26</v>
      </c>
    </row>
    <row r="30" spans="1:2" x14ac:dyDescent="0.5">
      <c r="A30" s="8" t="s">
        <v>27</v>
      </c>
    </row>
    <row r="31" spans="1:2" x14ac:dyDescent="0.5">
      <c r="A31" s="9" t="s">
        <v>28</v>
      </c>
    </row>
    <row r="32" spans="1:2" x14ac:dyDescent="0.5">
      <c r="A32" s="13" t="s">
        <v>29</v>
      </c>
      <c r="B32" s="19">
        <v>0</v>
      </c>
    </row>
    <row r="33" spans="1:2" x14ac:dyDescent="0.5">
      <c r="A33" s="13" t="s">
        <v>30</v>
      </c>
      <c r="B33" s="17">
        <v>5226.16</v>
      </c>
    </row>
    <row r="34" spans="1:2" x14ac:dyDescent="0.5">
      <c r="A34" s="14" t="s">
        <v>31</v>
      </c>
      <c r="B34" s="18">
        <f>B31+B32+B33</f>
        <v>5226.16</v>
      </c>
    </row>
    <row r="35" spans="1:2" x14ac:dyDescent="0.5">
      <c r="A35" s="9" t="s">
        <v>32</v>
      </c>
    </row>
    <row r="36" spans="1:2" x14ac:dyDescent="0.5">
      <c r="A36" s="13" t="s">
        <v>33</v>
      </c>
      <c r="B36" s="17">
        <v>-537588.19999999995</v>
      </c>
    </row>
    <row r="37" spans="1:2" x14ac:dyDescent="0.5">
      <c r="A37" s="13" t="s">
        <v>34</v>
      </c>
      <c r="B37" s="17">
        <v>619137.61</v>
      </c>
    </row>
    <row r="38" spans="1:2" x14ac:dyDescent="0.5">
      <c r="A38" s="14" t="s">
        <v>35</v>
      </c>
      <c r="B38" s="18">
        <f>B35+B36+B37</f>
        <v>81549.410000000033</v>
      </c>
    </row>
    <row r="39" spans="1:2" x14ac:dyDescent="0.5">
      <c r="A39" s="10" t="s">
        <v>36</v>
      </c>
      <c r="B39" s="18">
        <f>B30+B34+B38</f>
        <v>86775.570000000036</v>
      </c>
    </row>
    <row r="40" spans="1:2" x14ac:dyDescent="0.5">
      <c r="A40" s="11" t="s">
        <v>37</v>
      </c>
      <c r="B40" s="18">
        <f>B29+B39</f>
        <v>86775.570000000036</v>
      </c>
    </row>
    <row r="41" spans="1:2" x14ac:dyDescent="0.5">
      <c r="A41" s="7" t="s">
        <v>38</v>
      </c>
    </row>
    <row r="42" spans="1:2" x14ac:dyDescent="0.5">
      <c r="A42" s="8" t="s">
        <v>39</v>
      </c>
      <c r="B42" s="19">
        <v>0</v>
      </c>
    </row>
    <row r="43" spans="1:2" x14ac:dyDescent="0.5">
      <c r="A43" s="8" t="s">
        <v>40</v>
      </c>
      <c r="B43" s="17">
        <v>-60000</v>
      </c>
    </row>
    <row r="44" spans="1:2" x14ac:dyDescent="0.5">
      <c r="A44" s="9" t="s">
        <v>41</v>
      </c>
      <c r="B44" s="17">
        <v>-3051.63</v>
      </c>
    </row>
    <row r="45" spans="1:2" x14ac:dyDescent="0.5">
      <c r="A45" s="10" t="s">
        <v>42</v>
      </c>
      <c r="B45" s="18">
        <f>B43+B44</f>
        <v>-63051.63</v>
      </c>
    </row>
    <row r="46" spans="1:2" x14ac:dyDescent="0.5">
      <c r="A46" s="8" t="s">
        <v>43</v>
      </c>
      <c r="B46" s="17">
        <v>24977.130000000099</v>
      </c>
    </row>
    <row r="47" spans="1:2" x14ac:dyDescent="0.5">
      <c r="A47" s="8" t="s">
        <v>44</v>
      </c>
      <c r="B47" s="17">
        <v>138289.37000000011</v>
      </c>
    </row>
    <row r="48" spans="1:2" x14ac:dyDescent="0.5">
      <c r="A48" s="11" t="s">
        <v>45</v>
      </c>
      <c r="B48" s="18">
        <f>B41+B42+B45+B46+B47</f>
        <v>100214.87000000021</v>
      </c>
    </row>
    <row r="49" spans="1:2" x14ac:dyDescent="0.5">
      <c r="A49" s="12" t="s">
        <v>46</v>
      </c>
      <c r="B49" s="18">
        <f>B28+B40+B48</f>
        <v>186990.44000000024</v>
      </c>
    </row>
    <row r="53" spans="1:2" x14ac:dyDescent="0.5">
      <c r="A53" s="1" t="s">
        <v>49</v>
      </c>
      <c r="B53" s="4"/>
    </row>
  </sheetData>
  <mergeCells count="4">
    <mergeCell ref="A1:B1"/>
    <mergeCell ref="A2:B2"/>
    <mergeCell ref="A3:B3"/>
    <mergeCell ref="A53:B5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Kathleen Sabia Civiello</cp:lastModifiedBy>
  <dcterms:created xsi:type="dcterms:W3CDTF">2022-03-24T08:55:57Z</dcterms:created>
  <dcterms:modified xsi:type="dcterms:W3CDTF">2026-08-03T14:12:05Z</dcterms:modified>
  <cp:category/>
</cp:coreProperties>
</file>