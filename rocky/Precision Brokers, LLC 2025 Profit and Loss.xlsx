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5" i="1" l="1"/>
</calcChain>
</file>

<file path=xl/sharedStrings.xml><?xml version="1.0" encoding="utf-8"?>
<sst xmlns="http://schemas.openxmlformats.org/spreadsheetml/2006/main" count="66" uniqueCount="66">
  <si>
    <t>Precision Brokers, LLC</t>
  </si>
  <si>
    <t>Profit and Loss</t>
  </si>
  <si>
    <t>January-December, 2025</t>
  </si>
  <si>
    <t>Income</t>
  </si>
  <si>
    <t>Sales</t>
  </si>
  <si>
    <t>Total for Income</t>
  </si>
  <si>
    <t>Gross Profit</t>
  </si>
  <si>
    <t>Expenses</t>
  </si>
  <si>
    <t>Advertising &amp; marketing</t>
  </si>
  <si>
    <t>Business licenses</t>
  </si>
  <si>
    <t>Dues and Memberships</t>
  </si>
  <si>
    <t>Employee benefits</t>
  </si>
  <si>
    <t>Employee retirement plans</t>
  </si>
  <si>
    <t>Total for Employee benefits</t>
  </si>
  <si>
    <t>Employee Expense Reimbursement</t>
  </si>
  <si>
    <t>General business expenses</t>
  </si>
  <si>
    <t>Bank fees &amp; service charges</t>
  </si>
  <si>
    <t>Continuing education</t>
  </si>
  <si>
    <t>Memberships &amp; subscriptions</t>
  </si>
  <si>
    <t>Total for General business expenses</t>
  </si>
  <si>
    <t>Insurance</t>
  </si>
  <si>
    <t>Interest paid</t>
  </si>
  <si>
    <t>Credit card interest</t>
  </si>
  <si>
    <t>Total for Interest paid</t>
  </si>
  <si>
    <t>Legal &amp; accounting services</t>
  </si>
  <si>
    <t>Accounting fees</t>
  </si>
  <si>
    <t>Legal fees</t>
  </si>
  <si>
    <t>Total for Legal &amp; accounting services</t>
  </si>
  <si>
    <t>Meals</t>
  </si>
  <si>
    <t>Meals with clients</t>
  </si>
  <si>
    <t>Total for Meals</t>
  </si>
  <si>
    <t>Office expenses</t>
  </si>
  <si>
    <t>Office supplies</t>
  </si>
  <si>
    <t>Shipping &amp; postage</t>
  </si>
  <si>
    <t>Software, IT &amp; apps</t>
  </si>
  <si>
    <t>Total for Office expenses</t>
  </si>
  <si>
    <t>Payroll expenses</t>
  </si>
  <si>
    <t>Officers Salary</t>
  </si>
  <si>
    <t>Payroll Fees</t>
  </si>
  <si>
    <t>Payroll taxes (Company)</t>
  </si>
  <si>
    <t>Staff Wages</t>
  </si>
  <si>
    <t>Total for Payroll expenses</t>
  </si>
  <si>
    <t>Professional Services</t>
  </si>
  <si>
    <t>Rent</t>
  </si>
  <si>
    <t>OFF RENT</t>
  </si>
  <si>
    <t>Total for Rent</t>
  </si>
  <si>
    <t>Travel</t>
  </si>
  <si>
    <t>Airfare</t>
  </si>
  <si>
    <t>Hotels</t>
  </si>
  <si>
    <t>Taxis or shared rides</t>
  </si>
  <si>
    <t>Total for Travel</t>
  </si>
  <si>
    <t>Total for Expenses</t>
  </si>
  <si>
    <t>Net Operating Income</t>
  </si>
  <si>
    <t>Other Income</t>
  </si>
  <si>
    <t>Convenience Fee Income</t>
  </si>
  <si>
    <t>Total for Other Income</t>
  </si>
  <si>
    <t>Other Expenses</t>
  </si>
  <si>
    <t>Vehicle expenses</t>
  </si>
  <si>
    <t>Parking &amp; tolls</t>
  </si>
  <si>
    <t>Total for Vehicle expenses</t>
  </si>
  <si>
    <t>Total for Other Expenses</t>
  </si>
  <si>
    <t>Net Other Income</t>
  </si>
  <si>
    <t>Net Income</t>
  </si>
  <si>
    <t/>
  </si>
  <si>
    <t>Total</t>
  </si>
  <si>
    <t>Accrual Basis Wednesday, July 29, 2026 11:39 AM GMT-06:00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</si>
</sst>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1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3" fillId="0" borderId="0" xfId="0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69"/>
  <sheetViews>
    <sheetView tabSelected="1" workbookViewId="0" topLeftCell="A1"/>
  </sheetViews>
  <sheetFormatPr defaultColWidth="11.255" defaultRowHeight="16"/>
  <cols>
    <col min="1" max="1" width="32.375" style="33" customWidth="1"/>
    <col min="2" max="2" width="17" style="33" customWidth="1"/>
  </cols>
  <sheetData>
    <row r="1" spans="1:1" ht="16">
      <c r="A1" s="24" t="s">
        <v>0</v>
      </c>
    </row>
    <row r="2" spans="1:1" ht="16">
      <c r="A2" s="25" t="s">
        <v>1</v>
      </c>
    </row>
    <row r="3" spans="1:1" ht="16">
      <c r="A3" s="26" t="s">
        <v>2</v>
      </c>
    </row>
    <row r="5" spans="1:2" ht="16">
      <c r="A5" s="35" t="s">
        <v>63</v>
      </c>
      <c r="B5" s="39" t="s">
        <v>64</v>
      </c>
    </row>
    <row r="6" spans="1:1" ht="16">
      <c r="A6" s="28" t="s">
        <v>3</v>
      </c>
    </row>
    <row r="7" spans="1:2" ht="16">
      <c r="A7" s="29" t="s">
        <v>4</v>
      </c>
      <c r="B7" s="36">
        <v>415963.13</v>
      </c>
    </row>
    <row r="8" spans="1:2" ht="16">
      <c r="A8" s="30" t="s">
        <v>5</v>
      </c>
      <c r="B8" s="37">
        <f>B6+B7</f>
        <v>415963.13</v>
      </c>
    </row>
    <row r="9" spans="1:2" ht="16">
      <c r="A9" s="30" t="s">
        <v>6</v>
      </c>
      <c r="B9" s="37">
        <f>B8-0</f>
        <v>415963.13</v>
      </c>
    </row>
    <row r="10" spans="1:1" ht="16">
      <c r="A10" s="28" t="s">
        <v>7</v>
      </c>
    </row>
    <row r="11" spans="1:2" ht="16">
      <c r="A11" s="29" t="s">
        <v>8</v>
      </c>
      <c r="B11" s="36">
        <v>1280.7</v>
      </c>
    </row>
    <row r="12" spans="1:2" ht="16">
      <c r="A12" s="29" t="s">
        <v>9</v>
      </c>
      <c r="B12" s="36">
        <v>1313.97</v>
      </c>
    </row>
    <row r="13" spans="1:2" ht="16">
      <c r="A13" s="29" t="s">
        <v>10</v>
      </c>
      <c r="B13" s="36">
        <v>6366.0</v>
      </c>
    </row>
    <row r="14" spans="1:2" ht="16">
      <c r="A14" s="29" t="s">
        <v>11</v>
      </c>
      <c r="B14" s="38"/>
    </row>
    <row r="15" spans="1:2" ht="16">
      <c r="A15" s="31" t="s">
        <v>12</v>
      </c>
      <c r="B15" s="36">
        <v>1850.0</v>
      </c>
    </row>
    <row r="16" spans="1:2" ht="16">
      <c r="A16" s="32" t="s">
        <v>13</v>
      </c>
      <c r="B16" s="37">
        <f>B14+B15</f>
        <v>1850.0</v>
      </c>
    </row>
    <row r="17" spans="1:2" ht="16">
      <c r="A17" s="29" t="s">
        <v>14</v>
      </c>
      <c r="B17" s="36">
        <v>457.72</v>
      </c>
    </row>
    <row r="18" spans="1:2" ht="16">
      <c r="A18" s="29" t="s">
        <v>15</v>
      </c>
      <c r="B18" s="36">
        <v>14.35</v>
      </c>
    </row>
    <row r="19" spans="1:2" ht="16">
      <c r="A19" s="31" t="s">
        <v>16</v>
      </c>
      <c r="B19" s="36">
        <v>290.82</v>
      </c>
    </row>
    <row r="20" spans="1:2" ht="16">
      <c r="A20" s="31" t="s">
        <v>17</v>
      </c>
      <c r="B20" s="36">
        <v>1927.27</v>
      </c>
    </row>
    <row r="21" spans="1:2" ht="16">
      <c r="A21" s="31" t="s">
        <v>18</v>
      </c>
      <c r="B21" s="36">
        <v>99.0</v>
      </c>
    </row>
    <row r="22" spans="1:2" ht="16">
      <c r="A22" s="32" t="s">
        <v>19</v>
      </c>
      <c r="B22" s="37">
        <f>B18+B19+B20+B21</f>
        <v>2331.44</v>
      </c>
    </row>
    <row r="23" spans="1:2" ht="16">
      <c r="A23" s="29" t="s">
        <v>20</v>
      </c>
      <c r="B23" s="36">
        <v>3386.02</v>
      </c>
    </row>
    <row r="24" spans="1:2" ht="16">
      <c r="A24" s="29" t="s">
        <v>21</v>
      </c>
      <c r="B24" s="38"/>
    </row>
    <row r="25" spans="1:2" ht="16">
      <c r="A25" s="31" t="s">
        <v>22</v>
      </c>
      <c r="B25" s="36">
        <v>206.0</v>
      </c>
    </row>
    <row r="26" spans="1:2" ht="16">
      <c r="A26" s="32" t="s">
        <v>23</v>
      </c>
      <c r="B26" s="37">
        <f>B24+B25</f>
        <v>206.0</v>
      </c>
    </row>
    <row r="27" spans="1:2" ht="16">
      <c r="A27" s="29" t="s">
        <v>24</v>
      </c>
      <c r="B27" s="38"/>
    </row>
    <row r="28" spans="1:2" ht="16">
      <c r="A28" s="31" t="s">
        <v>25</v>
      </c>
      <c r="B28" s="36">
        <v>5940.56</v>
      </c>
    </row>
    <row r="29" spans="1:2" ht="16">
      <c r="A29" s="31" t="s">
        <v>26</v>
      </c>
      <c r="B29" s="36">
        <v>3948.01</v>
      </c>
    </row>
    <row r="30" spans="1:2" ht="16">
      <c r="A30" s="32" t="s">
        <v>27</v>
      </c>
      <c r="B30" s="37">
        <f>B27+B28+B29</f>
        <v>9888.57</v>
      </c>
    </row>
    <row r="31" spans="1:2" ht="16">
      <c r="A31" s="29" t="s">
        <v>28</v>
      </c>
      <c r="B31" s="36">
        <v>3479.88</v>
      </c>
    </row>
    <row r="32" spans="1:2" ht="16">
      <c r="A32" s="31" t="s">
        <v>29</v>
      </c>
      <c r="B32" s="36">
        <v>33.75</v>
      </c>
    </row>
    <row r="33" spans="1:2" ht="16">
      <c r="A33" s="32" t="s">
        <v>30</v>
      </c>
      <c r="B33" s="37">
        <f>B31+B32</f>
        <v>3513.63</v>
      </c>
    </row>
    <row r="34" spans="1:2" ht="16">
      <c r="A34" s="29" t="s">
        <v>31</v>
      </c>
      <c r="B34" s="36">
        <v>340.42</v>
      </c>
    </row>
    <row r="35" spans="1:2" ht="16">
      <c r="A35" s="31" t="s">
        <v>32</v>
      </c>
      <c r="B35" s="36">
        <v>846.17</v>
      </c>
    </row>
    <row r="36" spans="1:2" ht="16">
      <c r="A36" s="31" t="s">
        <v>33</v>
      </c>
      <c r="B36" s="36">
        <v>231.11</v>
      </c>
    </row>
    <row r="37" spans="1:2" ht="16">
      <c r="A37" s="31" t="s">
        <v>34</v>
      </c>
      <c r="B37" s="36">
        <v>17223.09</v>
      </c>
    </row>
    <row r="38" spans="1:2" ht="16">
      <c r="A38" s="32" t="s">
        <v>35</v>
      </c>
      <c r="B38" s="37">
        <f>B34+B35+B36+B37</f>
        <v>18640.79</v>
      </c>
    </row>
    <row r="39" spans="1:2" ht="16">
      <c r="A39" s="29" t="s">
        <v>36</v>
      </c>
      <c r="B39" s="38"/>
    </row>
    <row r="40" spans="1:2" ht="16">
      <c r="A40" s="31" t="s">
        <v>37</v>
      </c>
      <c r="B40" s="36">
        <v>200002.16</v>
      </c>
    </row>
    <row r="41" spans="1:2" ht="16">
      <c r="A41" s="31" t="s">
        <v>38</v>
      </c>
      <c r="B41" s="36">
        <v>1241.75</v>
      </c>
    </row>
    <row r="42" spans="1:2" ht="16">
      <c r="A42" s="31" t="s">
        <v>39</v>
      </c>
      <c r="B42" s="36">
        <v>26816.6</v>
      </c>
    </row>
    <row r="43" spans="1:2" ht="16">
      <c r="A43" s="31" t="s">
        <v>40</v>
      </c>
      <c r="B43" s="36">
        <v>122550.59</v>
      </c>
    </row>
    <row r="44" spans="1:2" ht="16">
      <c r="A44" s="32" t="s">
        <v>41</v>
      </c>
      <c r="B44" s="37">
        <f>B39+B40+B41+B42+B43</f>
        <v>350611.1</v>
      </c>
    </row>
    <row r="45" spans="1:2" ht="16">
      <c r="A45" s="29" t="s">
        <v>42</v>
      </c>
      <c r="B45" s="36">
        <v>3600.36</v>
      </c>
    </row>
    <row r="46" spans="1:2" ht="16">
      <c r="A46" s="29" t="s">
        <v>43</v>
      </c>
      <c r="B46" s="38"/>
    </row>
    <row r="47" spans="1:2" ht="16">
      <c r="A47" s="31" t="s">
        <v>44</v>
      </c>
      <c r="B47" s="36">
        <v>679.78</v>
      </c>
    </row>
    <row r="48" spans="1:2" ht="16">
      <c r="A48" s="32" t="s">
        <v>45</v>
      </c>
      <c r="B48" s="37">
        <f>B46+B47</f>
        <v>679.78</v>
      </c>
    </row>
    <row r="49" spans="1:2" ht="16">
      <c r="A49" s="29" t="s">
        <v>46</v>
      </c>
      <c r="B49" s="36">
        <v>791.78</v>
      </c>
    </row>
    <row r="50" spans="1:2" ht="16">
      <c r="A50" s="31" t="s">
        <v>47</v>
      </c>
      <c r="B50" s="36">
        <v>6890.65</v>
      </c>
    </row>
    <row r="51" spans="1:2" ht="16">
      <c r="A51" s="31" t="s">
        <v>48</v>
      </c>
      <c r="B51" s="36">
        <v>5738.11</v>
      </c>
    </row>
    <row r="52" spans="1:2" ht="16">
      <c r="A52" s="31" t="s">
        <v>49</v>
      </c>
      <c r="B52" s="36">
        <v>1779.1</v>
      </c>
    </row>
    <row r="53" spans="1:2" ht="16">
      <c r="A53" s="32" t="s">
        <v>50</v>
      </c>
      <c r="B53" s="37">
        <f>B49+B50+B51+B52</f>
        <v>15199.64</v>
      </c>
    </row>
    <row r="54" spans="1:2" ht="16">
      <c r="A54" s="30" t="s">
        <v>51</v>
      </c>
      <c r="B54" s="37">
        <f>B10+B11+B12+B13+B16+B17+B22+B23+B26+B30+B33+B38+B44+B45+B48+B53</f>
        <v>419325.72</v>
      </c>
    </row>
    <row r="55" spans="1:2" ht="16">
      <c r="A55" s="30" t="s">
        <v>52</v>
      </c>
      <c r="B55" s="37">
        <f>B9-B54</f>
        <v>-3362.5899999999674</v>
      </c>
    </row>
    <row r="56" spans="1:1" ht="16">
      <c r="A56" s="28" t="s">
        <v>53</v>
      </c>
    </row>
    <row r="57" spans="1:2" ht="16">
      <c r="A57" s="29" t="s">
        <v>54</v>
      </c>
      <c r="B57" s="36">
        <v>205.0</v>
      </c>
    </row>
    <row r="58" spans="1:2" ht="16">
      <c r="A58" s="30" t="s">
        <v>55</v>
      </c>
      <c r="B58" s="37">
        <f>B56+B57</f>
        <v>205.0</v>
      </c>
    </row>
    <row r="59" spans="1:1" ht="16">
      <c r="A59" s="28" t="s">
        <v>56</v>
      </c>
    </row>
    <row r="60" spans="1:2" ht="16">
      <c r="A60" s="29" t="s">
        <v>57</v>
      </c>
      <c r="B60" s="38"/>
    </row>
    <row r="61" spans="1:2" ht="16">
      <c r="A61" s="31" t="s">
        <v>58</v>
      </c>
      <c r="B61" s="36">
        <v>94.0</v>
      </c>
    </row>
    <row r="62" spans="1:2" ht="16">
      <c r="A62" s="32" t="s">
        <v>59</v>
      </c>
      <c r="B62" s="37">
        <f>B60+B61</f>
        <v>94.0</v>
      </c>
    </row>
    <row r="63" spans="1:2" ht="16">
      <c r="A63" s="30" t="s">
        <v>60</v>
      </c>
      <c r="B63" s="37">
        <f>B59+B62</f>
        <v>94.0</v>
      </c>
    </row>
    <row r="64" spans="1:2" ht="16">
      <c r="A64" s="30" t="s">
        <v>61</v>
      </c>
      <c r="B64" s="37">
        <f>B58-B63</f>
        <v>111.0</v>
      </c>
    </row>
    <row r="65" spans="1:2" ht="16">
      <c r="A65" s="30" t="s">
        <v>62</v>
      </c>
      <c r="B65" s="37">
        <f>B55+B64</f>
        <v>-3251.5899999999674</v>
      </c>
    </row>
    <row r="69" spans="1:1" ht="16">
      <c r="A69" s="40" t="s">
        <v>65</v>
      </c>
    </row>
  </sheetData>
  <mergeCells count="4">
    <mergeCell ref="A1:B1"/>
    <mergeCell ref="A2:B2"/>
    <mergeCell ref="A3:B3"/>
    <mergeCell ref="A69:B6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