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ki\Downloads\"/>
    </mc:Choice>
  </mc:AlternateContent>
  <xr:revisionPtr revIDLastSave="0" documentId="8_{2655CE90-9C7C-4ACC-A265-668A795D152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" i="1" l="1"/>
  <c r="B59" i="1" s="1"/>
  <c r="B53" i="1"/>
  <c r="B48" i="1"/>
  <c r="B43" i="1"/>
  <c r="B39" i="1"/>
  <c r="B33" i="1"/>
  <c r="B28" i="1"/>
  <c r="B25" i="1"/>
  <c r="B20" i="1"/>
  <c r="B8" i="1"/>
  <c r="B9" i="1" s="1"/>
  <c r="B50" i="1" s="1"/>
  <c r="B60" i="1" l="1"/>
  <c r="B61" i="1"/>
</calcChain>
</file>

<file path=xl/sharedStrings.xml><?xml version="1.0" encoding="utf-8"?>
<sst xmlns="http://schemas.openxmlformats.org/spreadsheetml/2006/main" count="62" uniqueCount="62">
  <si>
    <t>Precision Brokers, LLC</t>
  </si>
  <si>
    <t>Profit and Loss</t>
  </si>
  <si>
    <t>July, 2025-June, 2026</t>
  </si>
  <si>
    <t>Income</t>
  </si>
  <si>
    <t>Sales</t>
  </si>
  <si>
    <t>Total for Income</t>
  </si>
  <si>
    <t>Gross Profit</t>
  </si>
  <si>
    <t>Expenses</t>
  </si>
  <si>
    <t>Advertising &amp; marketing</t>
  </si>
  <si>
    <t>Business licenses</t>
  </si>
  <si>
    <t>Dues and Memberships</t>
  </si>
  <si>
    <t>Employee benefits</t>
  </si>
  <si>
    <t>Total</t>
  </si>
  <si>
    <t/>
  </si>
  <si>
    <t>Employee Expense Reimbursement</t>
  </si>
  <si>
    <t>General business expenses</t>
  </si>
  <si>
    <t>Bank fees &amp; service charges</t>
  </si>
  <si>
    <t>Continuing education</t>
  </si>
  <si>
    <t>Memberships &amp; subscriptions</t>
  </si>
  <si>
    <t>Total for General business expenses</t>
  </si>
  <si>
    <t>Insurance</t>
  </si>
  <si>
    <t>Legal &amp; accounting services</t>
  </si>
  <si>
    <t>Accounting fees</t>
  </si>
  <si>
    <t>Legal fees</t>
  </si>
  <si>
    <t>Total for Legal &amp; accounting services</t>
  </si>
  <si>
    <t>Meals</t>
  </si>
  <si>
    <t>Meals with clients</t>
  </si>
  <si>
    <t>Total for Meals</t>
  </si>
  <si>
    <t>Office expenses</t>
  </si>
  <si>
    <t>Office supplies</t>
  </si>
  <si>
    <t>Shipping &amp; postage</t>
  </si>
  <si>
    <t>Software, IT &amp; apps</t>
  </si>
  <si>
    <t>Total for Office expenses</t>
  </si>
  <si>
    <t>Payroll expenses</t>
  </si>
  <si>
    <t>Officers Salary</t>
  </si>
  <si>
    <t>Payroll Fees</t>
  </si>
  <si>
    <t>Payroll taxes (Company)</t>
  </si>
  <si>
    <t>Staff Wages</t>
  </si>
  <si>
    <t>Total for Payroll expenses</t>
  </si>
  <si>
    <t>Professional Services</t>
  </si>
  <si>
    <t>Rent</t>
  </si>
  <si>
    <t>OFF RENT</t>
  </si>
  <si>
    <t>Total for Rent</t>
  </si>
  <si>
    <t>Travel</t>
  </si>
  <si>
    <t>Airfare</t>
  </si>
  <si>
    <t>Hotels</t>
  </si>
  <si>
    <t>Taxis or shared rides</t>
  </si>
  <si>
    <t>Total for Travel</t>
  </si>
  <si>
    <t>Total for Expenses</t>
  </si>
  <si>
    <t>Net Operating Income</t>
  </si>
  <si>
    <t>Other Income</t>
  </si>
  <si>
    <t>Convenience Fee Income</t>
  </si>
  <si>
    <t>Total for Other Income</t>
  </si>
  <si>
    <t>Other Expenses</t>
  </si>
  <si>
    <t>Vehicle expenses</t>
  </si>
  <si>
    <t>Parking &amp; tolls</t>
  </si>
  <si>
    <t>Vehicle gas &amp; fuel</t>
  </si>
  <si>
    <t>Total for Vehicle expenses</t>
  </si>
  <si>
    <t>Total for Other Expenses</t>
  </si>
  <si>
    <t>Net Other Income</t>
  </si>
  <si>
    <t>Net Income</t>
  </si>
  <si>
    <t>Accrual Basis Monday, August 03, 2026 09:57 AM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</si>
</sst>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7">
    <xf numFmtId="0" fontId="0" fillId="0" borderId="0" xfId="0"/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3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4" fillId="0" borderId="2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B67"/>
  <sheetViews>
    <sheetView tabSelected="1" workbookViewId="0">
      <selection sqref="A1:B1"/>
    </sheetView>
  </sheetViews>
  <sheetFormatPr defaultColWidth="11.25" defaultRowHeight="15.75" x14ac:dyDescent="0.5"/>
  <cols>
    <col min="1" max="1" width="32.375" style="6" customWidth="1"/>
    <col min="2" max="2" width="17" style="6" customWidth="1"/>
  </cols>
  <sheetData>
    <row r="1" spans="1:2" x14ac:dyDescent="0.5">
      <c r="A1" s="5" t="s">
        <v>0</v>
      </c>
      <c r="B1" s="4"/>
    </row>
    <row r="2" spans="1:2" x14ac:dyDescent="0.5">
      <c r="A2" s="3" t="s">
        <v>1</v>
      </c>
      <c r="B2" s="4"/>
    </row>
    <row r="3" spans="1:2" x14ac:dyDescent="0.5">
      <c r="A3" s="2" t="s">
        <v>2</v>
      </c>
      <c r="B3" s="4"/>
    </row>
    <row r="5" spans="1:2" x14ac:dyDescent="0.5">
      <c r="A5" s="12" t="s">
        <v>13</v>
      </c>
      <c r="B5" s="12" t="s">
        <v>12</v>
      </c>
    </row>
    <row r="6" spans="1:2" x14ac:dyDescent="0.5">
      <c r="A6" s="7" t="s">
        <v>3</v>
      </c>
    </row>
    <row r="7" spans="1:2" x14ac:dyDescent="0.5">
      <c r="A7" s="8" t="s">
        <v>4</v>
      </c>
      <c r="B7" s="13">
        <v>569203.54</v>
      </c>
    </row>
    <row r="8" spans="1:2" x14ac:dyDescent="0.5">
      <c r="A8" s="9" t="s">
        <v>5</v>
      </c>
      <c r="B8" s="14">
        <f>B6+B7</f>
        <v>569203.54</v>
      </c>
    </row>
    <row r="9" spans="1:2" x14ac:dyDescent="0.5">
      <c r="A9" s="9" t="s">
        <v>6</v>
      </c>
      <c r="B9" s="14">
        <f>B8-0</f>
        <v>569203.54</v>
      </c>
    </row>
    <row r="10" spans="1:2" x14ac:dyDescent="0.5">
      <c r="A10" s="7" t="s">
        <v>7</v>
      </c>
    </row>
    <row r="11" spans="1:2" x14ac:dyDescent="0.5">
      <c r="A11" s="8" t="s">
        <v>8</v>
      </c>
      <c r="B11" s="13">
        <v>510.76</v>
      </c>
    </row>
    <row r="12" spans="1:2" x14ac:dyDescent="0.5">
      <c r="A12" s="8" t="s">
        <v>9</v>
      </c>
      <c r="B12" s="13">
        <v>1871.7</v>
      </c>
    </row>
    <row r="13" spans="1:2" x14ac:dyDescent="0.5">
      <c r="A13" s="8" t="s">
        <v>10</v>
      </c>
      <c r="B13" s="13">
        <v>6147</v>
      </c>
    </row>
    <row r="14" spans="1:2" x14ac:dyDescent="0.5">
      <c r="A14" s="8" t="s">
        <v>11</v>
      </c>
      <c r="B14" s="15">
        <v>4150</v>
      </c>
    </row>
    <row r="15" spans="1:2" x14ac:dyDescent="0.5">
      <c r="A15" s="8" t="s">
        <v>14</v>
      </c>
      <c r="B15" s="13">
        <v>457.72</v>
      </c>
    </row>
    <row r="16" spans="1:2" x14ac:dyDescent="0.5">
      <c r="A16" s="8" t="s">
        <v>15</v>
      </c>
      <c r="B16" s="13">
        <v>14.35</v>
      </c>
    </row>
    <row r="17" spans="1:2" x14ac:dyDescent="0.5">
      <c r="A17" s="10" t="s">
        <v>16</v>
      </c>
      <c r="B17" s="13">
        <v>242.16</v>
      </c>
    </row>
    <row r="18" spans="1:2" x14ac:dyDescent="0.5">
      <c r="A18" s="10" t="s">
        <v>17</v>
      </c>
      <c r="B18" s="13">
        <v>7652.27</v>
      </c>
    </row>
    <row r="19" spans="1:2" x14ac:dyDescent="0.5">
      <c r="A19" s="10" t="s">
        <v>18</v>
      </c>
      <c r="B19" s="13">
        <v>99</v>
      </c>
    </row>
    <row r="20" spans="1:2" x14ac:dyDescent="0.5">
      <c r="A20" s="11" t="s">
        <v>19</v>
      </c>
      <c r="B20" s="14">
        <f>B16+B17+B18+B19</f>
        <v>8007.7800000000007</v>
      </c>
    </row>
    <row r="21" spans="1:2" x14ac:dyDescent="0.5">
      <c r="A21" s="8" t="s">
        <v>20</v>
      </c>
      <c r="B21" s="13">
        <v>9381.85</v>
      </c>
    </row>
    <row r="22" spans="1:2" x14ac:dyDescent="0.5">
      <c r="A22" s="8" t="s">
        <v>21</v>
      </c>
      <c r="B22" s="13">
        <v>97.85</v>
      </c>
    </row>
    <row r="23" spans="1:2" x14ac:dyDescent="0.5">
      <c r="A23" s="10" t="s">
        <v>22</v>
      </c>
      <c r="B23" s="13">
        <v>4007.78</v>
      </c>
    </row>
    <row r="24" spans="1:2" x14ac:dyDescent="0.5">
      <c r="A24" s="10" t="s">
        <v>23</v>
      </c>
      <c r="B24" s="13">
        <v>5295.51</v>
      </c>
    </row>
    <row r="25" spans="1:2" x14ac:dyDescent="0.5">
      <c r="A25" s="11" t="s">
        <v>24</v>
      </c>
      <c r="B25" s="14">
        <f>B22+B23+B24</f>
        <v>9401.14</v>
      </c>
    </row>
    <row r="26" spans="1:2" x14ac:dyDescent="0.5">
      <c r="A26" s="8" t="s">
        <v>25</v>
      </c>
      <c r="B26" s="13">
        <v>5098</v>
      </c>
    </row>
    <row r="27" spans="1:2" x14ac:dyDescent="0.5">
      <c r="A27" s="10" t="s">
        <v>26</v>
      </c>
      <c r="B27" s="13">
        <v>18.05</v>
      </c>
    </row>
    <row r="28" spans="1:2" x14ac:dyDescent="0.5">
      <c r="A28" s="11" t="s">
        <v>27</v>
      </c>
      <c r="B28" s="14">
        <f>B26+B27</f>
        <v>5116.05</v>
      </c>
    </row>
    <row r="29" spans="1:2" x14ac:dyDescent="0.5">
      <c r="A29" s="8" t="s">
        <v>28</v>
      </c>
      <c r="B29" s="13">
        <v>340.42</v>
      </c>
    </row>
    <row r="30" spans="1:2" x14ac:dyDescent="0.5">
      <c r="A30" s="10" t="s">
        <v>29</v>
      </c>
      <c r="B30" s="13">
        <v>3389.49</v>
      </c>
    </row>
    <row r="31" spans="1:2" x14ac:dyDescent="0.5">
      <c r="A31" s="10" t="s">
        <v>30</v>
      </c>
      <c r="B31" s="13">
        <v>233.61</v>
      </c>
    </row>
    <row r="32" spans="1:2" x14ac:dyDescent="0.5">
      <c r="A32" s="10" t="s">
        <v>31</v>
      </c>
      <c r="B32" s="13">
        <v>24553.15</v>
      </c>
    </row>
    <row r="33" spans="1:2" x14ac:dyDescent="0.5">
      <c r="A33" s="11" t="s">
        <v>32</v>
      </c>
      <c r="B33" s="14">
        <f>B29+B30+B31+B32</f>
        <v>28516.670000000002</v>
      </c>
    </row>
    <row r="34" spans="1:2" x14ac:dyDescent="0.5">
      <c r="A34" s="8" t="s">
        <v>33</v>
      </c>
      <c r="B34" s="16"/>
    </row>
    <row r="35" spans="1:2" x14ac:dyDescent="0.5">
      <c r="A35" s="10" t="s">
        <v>34</v>
      </c>
      <c r="B35" s="13">
        <v>183335.48</v>
      </c>
    </row>
    <row r="36" spans="1:2" x14ac:dyDescent="0.5">
      <c r="A36" s="10" t="s">
        <v>35</v>
      </c>
      <c r="B36" s="13">
        <v>1047.0999999999999</v>
      </c>
    </row>
    <row r="37" spans="1:2" x14ac:dyDescent="0.5">
      <c r="A37" s="10" t="s">
        <v>36</v>
      </c>
      <c r="B37" s="13">
        <v>23961.38</v>
      </c>
    </row>
    <row r="38" spans="1:2" x14ac:dyDescent="0.5">
      <c r="A38" s="10" t="s">
        <v>37</v>
      </c>
      <c r="B38" s="13">
        <v>124914.82</v>
      </c>
    </row>
    <row r="39" spans="1:2" x14ac:dyDescent="0.5">
      <c r="A39" s="11" t="s">
        <v>38</v>
      </c>
      <c r="B39" s="14">
        <f>B34+B35+B36+B37+B38</f>
        <v>333258.78000000003</v>
      </c>
    </row>
    <row r="40" spans="1:2" x14ac:dyDescent="0.5">
      <c r="A40" s="8" t="s">
        <v>39</v>
      </c>
      <c r="B40" s="13">
        <v>2705.8</v>
      </c>
    </row>
    <row r="41" spans="1:2" x14ac:dyDescent="0.5">
      <c r="A41" s="8" t="s">
        <v>40</v>
      </c>
      <c r="B41" s="13">
        <v>5882.4</v>
      </c>
    </row>
    <row r="42" spans="1:2" x14ac:dyDescent="0.5">
      <c r="A42" s="10" t="s">
        <v>41</v>
      </c>
      <c r="B42" s="13">
        <v>239.88</v>
      </c>
    </row>
    <row r="43" spans="1:2" x14ac:dyDescent="0.5">
      <c r="A43" s="11" t="s">
        <v>42</v>
      </c>
      <c r="B43" s="14">
        <f>B41+B42</f>
        <v>6122.28</v>
      </c>
    </row>
    <row r="44" spans="1:2" x14ac:dyDescent="0.5">
      <c r="A44" s="8" t="s">
        <v>43</v>
      </c>
      <c r="B44" s="13">
        <v>791.78</v>
      </c>
    </row>
    <row r="45" spans="1:2" x14ac:dyDescent="0.5">
      <c r="A45" s="10" t="s">
        <v>44</v>
      </c>
      <c r="B45" s="13">
        <v>14971.31</v>
      </c>
    </row>
    <row r="46" spans="1:2" x14ac:dyDescent="0.5">
      <c r="A46" s="10" t="s">
        <v>45</v>
      </c>
      <c r="B46" s="13">
        <v>5567.91</v>
      </c>
    </row>
    <row r="47" spans="1:2" x14ac:dyDescent="0.5">
      <c r="A47" s="10" t="s">
        <v>46</v>
      </c>
      <c r="B47" s="13">
        <v>2018.49</v>
      </c>
    </row>
    <row r="48" spans="1:2" x14ac:dyDescent="0.5">
      <c r="A48" s="11" t="s">
        <v>47</v>
      </c>
      <c r="B48" s="14">
        <f>B44+B45+B46+B47</f>
        <v>23349.49</v>
      </c>
    </row>
    <row r="49" spans="1:2" x14ac:dyDescent="0.5">
      <c r="A49" s="9" t="s">
        <v>48</v>
      </c>
      <c r="B49" s="14">
        <v>438997.02</v>
      </c>
    </row>
    <row r="50" spans="1:2" x14ac:dyDescent="0.5">
      <c r="A50" s="9" t="s">
        <v>49</v>
      </c>
      <c r="B50" s="14">
        <f>B9-B49</f>
        <v>130206.52000000002</v>
      </c>
    </row>
    <row r="51" spans="1:2" x14ac:dyDescent="0.5">
      <c r="A51" s="7" t="s">
        <v>50</v>
      </c>
    </row>
    <row r="52" spans="1:2" x14ac:dyDescent="0.5">
      <c r="A52" s="8" t="s">
        <v>51</v>
      </c>
      <c r="B52" s="13">
        <v>205</v>
      </c>
    </row>
    <row r="53" spans="1:2" x14ac:dyDescent="0.5">
      <c r="A53" s="9" t="s">
        <v>52</v>
      </c>
      <c r="B53" s="14">
        <f>B51+B52</f>
        <v>205</v>
      </c>
    </row>
    <row r="54" spans="1:2" x14ac:dyDescent="0.5">
      <c r="A54" s="7" t="s">
        <v>53</v>
      </c>
    </row>
    <row r="55" spans="1:2" x14ac:dyDescent="0.5">
      <c r="A55" s="8" t="s">
        <v>54</v>
      </c>
      <c r="B55" s="16"/>
    </row>
    <row r="56" spans="1:2" x14ac:dyDescent="0.5">
      <c r="A56" s="10" t="s">
        <v>55</v>
      </c>
      <c r="B56" s="13">
        <v>175</v>
      </c>
    </row>
    <row r="57" spans="1:2" x14ac:dyDescent="0.5">
      <c r="A57" s="10" t="s">
        <v>56</v>
      </c>
      <c r="B57" s="13">
        <v>52.15</v>
      </c>
    </row>
    <row r="58" spans="1:2" x14ac:dyDescent="0.5">
      <c r="A58" s="11" t="s">
        <v>57</v>
      </c>
      <c r="B58" s="14">
        <f>B55+B56+B57</f>
        <v>227.15</v>
      </c>
    </row>
    <row r="59" spans="1:2" x14ac:dyDescent="0.5">
      <c r="A59" s="9" t="s">
        <v>58</v>
      </c>
      <c r="B59" s="14">
        <f>B54+B58</f>
        <v>227.15</v>
      </c>
    </row>
    <row r="60" spans="1:2" x14ac:dyDescent="0.5">
      <c r="A60" s="9" t="s">
        <v>59</v>
      </c>
      <c r="B60" s="14">
        <f>B53-B59</f>
        <v>-22.150000000000006</v>
      </c>
    </row>
    <row r="61" spans="1:2" x14ac:dyDescent="0.5">
      <c r="A61" s="9" t="s">
        <v>60</v>
      </c>
      <c r="B61" s="14">
        <f>B50+B60</f>
        <v>130184.37000000002</v>
      </c>
    </row>
    <row r="67" spans="1:2" x14ac:dyDescent="0.5">
      <c r="A67" s="1" t="s">
        <v>61</v>
      </c>
      <c r="B67" s="4"/>
    </row>
  </sheetData>
  <mergeCells count="4">
    <mergeCell ref="A1:B1"/>
    <mergeCell ref="A2:B2"/>
    <mergeCell ref="A3:B3"/>
    <mergeCell ref="A67:B6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Kathleen Sabia Civiello</cp:lastModifiedBy>
  <dcterms:created xsi:type="dcterms:W3CDTF">2022-03-24T08:55:57Z</dcterms:created>
  <dcterms:modified xsi:type="dcterms:W3CDTF">2026-08-03T13:58:35Z</dcterms:modified>
  <cp:category/>
</cp:coreProperties>
</file>