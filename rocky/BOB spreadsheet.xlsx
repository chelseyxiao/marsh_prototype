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ecisionins-my.sharepoint.com/personal/jpearson_precision-ins_com/Documents/Corporate documents/PB sale/Marsh/july 26 final due diligence/"/>
    </mc:Choice>
  </mc:AlternateContent>
  <xr:revisionPtr revIDLastSave="0" documentId="8_{21026146-6C95-4CCC-942A-DBE5E5BF43ED}" xr6:coauthVersionLast="47" xr6:coauthVersionMax="47" xr10:uidLastSave="{00000000-0000-0000-0000-000000000000}"/>
  <bookViews>
    <workbookView xWindow="15213" yWindow="1647" windowWidth="17554" windowHeight="9980" xr2:uid="{1B3447BF-96E7-4956-B9FC-A9CAFB0CF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7" i="1"/>
  <c r="H58" i="1"/>
  <c r="H60" i="1"/>
  <c r="H61" i="1"/>
  <c r="H62" i="1"/>
  <c r="H63" i="1"/>
  <c r="H64" i="1"/>
  <c r="H65" i="1"/>
  <c r="H66" i="1"/>
  <c r="H67" i="1"/>
  <c r="H68" i="1"/>
  <c r="H69" i="1"/>
  <c r="H71" i="1"/>
  <c r="H72" i="1"/>
  <c r="H73" i="1"/>
  <c r="H75" i="1"/>
  <c r="H76" i="1"/>
  <c r="H77" i="1"/>
  <c r="H78" i="1"/>
  <c r="H79" i="1"/>
  <c r="H80" i="1"/>
  <c r="H81" i="1"/>
  <c r="H88" i="1"/>
  <c r="H89" i="1"/>
  <c r="H91" i="1"/>
  <c r="H92" i="1"/>
  <c r="H93" i="1"/>
  <c r="H94" i="1"/>
  <c r="H95" i="1"/>
  <c r="H96" i="1"/>
  <c r="H98" i="1"/>
  <c r="H99" i="1"/>
  <c r="H100" i="1"/>
  <c r="H103" i="1"/>
  <c r="H104" i="1"/>
  <c r="H105" i="1"/>
  <c r="H106" i="1"/>
  <c r="H108" i="1"/>
  <c r="H109" i="1"/>
  <c r="H112" i="1"/>
  <c r="H115" i="1"/>
  <c r="H120" i="1"/>
  <c r="H121" i="1"/>
  <c r="H122" i="1"/>
  <c r="H123" i="1"/>
  <c r="H124" i="1"/>
  <c r="H125" i="1"/>
  <c r="H126" i="1"/>
  <c r="H136" i="1"/>
  <c r="H137" i="1"/>
  <c r="H138" i="1"/>
  <c r="H139" i="1"/>
  <c r="H141" i="1"/>
  <c r="H148" i="1"/>
  <c r="I151" i="1"/>
  <c r="H152" i="1"/>
  <c r="H158" i="1"/>
  <c r="H160" i="1"/>
  <c r="H162" i="1"/>
  <c r="H163" i="1"/>
  <c r="H164" i="1"/>
  <c r="H166" i="1"/>
  <c r="H170" i="1"/>
  <c r="H171" i="1"/>
  <c r="H172" i="1"/>
  <c r="H173" i="1"/>
  <c r="H174" i="1"/>
  <c r="H175" i="1"/>
  <c r="H178" i="1"/>
  <c r="H180" i="1"/>
  <c r="H181" i="1"/>
  <c r="H182" i="1"/>
  <c r="H183" i="1"/>
  <c r="H185" i="1"/>
  <c r="H186" i="1"/>
  <c r="H187" i="1"/>
  <c r="H188" i="1"/>
  <c r="H189" i="1"/>
  <c r="H190" i="1"/>
  <c r="H191" i="1"/>
  <c r="H192" i="1"/>
  <c r="H195" i="1"/>
  <c r="H196" i="1"/>
  <c r="H197" i="1"/>
  <c r="H198" i="1"/>
  <c r="H200" i="1"/>
  <c r="H203" i="1"/>
  <c r="H204" i="1"/>
  <c r="H205" i="1"/>
  <c r="H207" i="1"/>
  <c r="H208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8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7" i="1"/>
  <c r="H258" i="1"/>
  <c r="H259" i="1"/>
  <c r="H260" i="1"/>
  <c r="H261" i="1"/>
  <c r="H262" i="1"/>
  <c r="H263" i="1"/>
  <c r="H264" i="1"/>
  <c r="H265" i="1"/>
  <c r="H267" i="1"/>
  <c r="H268" i="1"/>
  <c r="H273" i="1"/>
  <c r="H275" i="1"/>
  <c r="H276" i="1"/>
  <c r="H277" i="1"/>
  <c r="H278" i="1"/>
  <c r="H279" i="1"/>
  <c r="H281" i="1"/>
  <c r="H282" i="1"/>
  <c r="H284" i="1"/>
  <c r="H285" i="1"/>
  <c r="H286" i="1"/>
  <c r="H287" i="1"/>
  <c r="H288" i="1"/>
  <c r="H289" i="1"/>
  <c r="H290" i="1"/>
  <c r="H291" i="1"/>
  <c r="H292" i="1"/>
  <c r="H293" i="1"/>
  <c r="H294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G310" i="1"/>
  <c r="G312" i="1" s="1"/>
  <c r="K311" i="1"/>
  <c r="H314" i="1" s="1"/>
  <c r="J311" i="1"/>
  <c r="H313" i="1" s="1"/>
  <c r="I107" i="1" l="1"/>
  <c r="I22" i="1"/>
  <c r="I237" i="1"/>
  <c r="I266" i="1"/>
  <c r="I193" i="1"/>
  <c r="I55" i="1"/>
  <c r="I131" i="1"/>
  <c r="I280" i="1"/>
  <c r="H310" i="1"/>
  <c r="H312" i="1" s="1"/>
  <c r="H318" i="1" s="1"/>
  <c r="I309" i="1"/>
  <c r="I84" i="1"/>
  <c r="I167" i="1"/>
  <c r="I310" i="1" l="1"/>
</calcChain>
</file>

<file path=xl/sharedStrings.xml><?xml version="1.0" encoding="utf-8"?>
<sst xmlns="http://schemas.openxmlformats.org/spreadsheetml/2006/main" count="1501" uniqueCount="416">
  <si>
    <t>Insured</t>
  </si>
  <si>
    <t>Ex. Date</t>
  </si>
  <si>
    <t>Coverage</t>
  </si>
  <si>
    <t>Carrier</t>
  </si>
  <si>
    <t>Wholesaler</t>
  </si>
  <si>
    <t>Liab Limit</t>
  </si>
  <si>
    <t>Premium</t>
  </si>
  <si>
    <t>Commission</t>
  </si>
  <si>
    <t>Notes</t>
  </si>
  <si>
    <t>BP Pymt</t>
  </si>
  <si>
    <t>IPFS+misc</t>
  </si>
  <si>
    <t>Pisces</t>
  </si>
  <si>
    <t>PNC</t>
  </si>
  <si>
    <t>Element</t>
  </si>
  <si>
    <t xml:space="preserve">ATFO, LLC </t>
  </si>
  <si>
    <t>TREO</t>
  </si>
  <si>
    <t>Nomadx</t>
  </si>
  <si>
    <t>ARC</t>
  </si>
  <si>
    <t>$1M</t>
  </si>
  <si>
    <t>Atinaw, LLC</t>
  </si>
  <si>
    <t xml:space="preserve">Duncan &amp; John C Schmidt </t>
  </si>
  <si>
    <t xml:space="preserve">ARC </t>
  </si>
  <si>
    <t>LB Business Services</t>
  </si>
  <si>
    <t xml:space="preserve">TREO </t>
  </si>
  <si>
    <t>AWAC</t>
  </si>
  <si>
    <t>Laura Fisher (Pisces)</t>
  </si>
  <si>
    <t>Sexual Misconduct</t>
  </si>
  <si>
    <t>Lloyds</t>
  </si>
  <si>
    <t>EO</t>
  </si>
  <si>
    <t>Allied Medical</t>
  </si>
  <si>
    <t>$3M</t>
  </si>
  <si>
    <t xml:space="preserve">XS EO </t>
  </si>
  <si>
    <t xml:space="preserve">Nautilus </t>
  </si>
  <si>
    <t>Hadron</t>
  </si>
  <si>
    <t>$2M</t>
  </si>
  <si>
    <t>Investors Preferred</t>
  </si>
  <si>
    <t>FI PKG</t>
  </si>
  <si>
    <t>FI Bond</t>
  </si>
  <si>
    <t>XL Specialty</t>
  </si>
  <si>
    <t>$5M</t>
  </si>
  <si>
    <t>Hermes Trust Co</t>
  </si>
  <si>
    <t>EO/DO</t>
  </si>
  <si>
    <t>CNA</t>
  </si>
  <si>
    <t xml:space="preserve">$4M </t>
  </si>
  <si>
    <t>Cyber</t>
  </si>
  <si>
    <t>At Bay</t>
  </si>
  <si>
    <t>City Fields Foundation (Pisces)</t>
  </si>
  <si>
    <t>DO</t>
  </si>
  <si>
    <t>Scottsdale</t>
  </si>
  <si>
    <t>The Lions Consulting Group</t>
  </si>
  <si>
    <t xml:space="preserve">Shock the System </t>
  </si>
  <si>
    <t>Lexington</t>
  </si>
  <si>
    <t>Independent Trustee Alliance/ Kevin Quinn</t>
  </si>
  <si>
    <t>Association Professional</t>
  </si>
  <si>
    <t>Gemini</t>
  </si>
  <si>
    <t>D&amp;O</t>
  </si>
  <si>
    <t>Arch</t>
  </si>
  <si>
    <t>ILS (interactive Legal Services)</t>
  </si>
  <si>
    <t>CFC</t>
  </si>
  <si>
    <t xml:space="preserve">Feb 2, 2027
</t>
  </si>
  <si>
    <t>Zurich</t>
  </si>
  <si>
    <t xml:space="preserve">Feb 2
</t>
  </si>
  <si>
    <t>Private Trust Co</t>
  </si>
  <si>
    <t>Travelers</t>
  </si>
  <si>
    <t>Lakeside Accounting Solutions, LLC</t>
  </si>
  <si>
    <t>Houston Casualty</t>
  </si>
  <si>
    <t>South Dakota Trust Association</t>
  </si>
  <si>
    <t>Center of the Golden One</t>
  </si>
  <si>
    <t xml:space="preserve">TEFAF </t>
  </si>
  <si>
    <t>GL/Spectator Accident</t>
  </si>
  <si>
    <t xml:space="preserve">HCC </t>
  </si>
  <si>
    <t>ProSight</t>
  </si>
  <si>
    <t xml:space="preserve"> Exhibitor</t>
  </si>
  <si>
    <t>K&amp;K</t>
  </si>
  <si>
    <t>TBD</t>
  </si>
  <si>
    <t>Event Cancellation</t>
  </si>
  <si>
    <t>Affinity</t>
  </si>
  <si>
    <t>Fee</t>
  </si>
  <si>
    <t>Chandler Trust</t>
  </si>
  <si>
    <t>Texas Insurance Co</t>
  </si>
  <si>
    <t>$2.5M</t>
  </si>
  <si>
    <t>Crum &amp; Forster</t>
  </si>
  <si>
    <t>Coaction</t>
  </si>
  <si>
    <t>Convex</t>
  </si>
  <si>
    <t>Hanover Insurance Company</t>
  </si>
  <si>
    <t>Ascot</t>
  </si>
  <si>
    <t>$5M/$20M</t>
  </si>
  <si>
    <t>Aegis</t>
  </si>
  <si>
    <t>Amtrust</t>
  </si>
  <si>
    <t>Fortius Metals Inc</t>
  </si>
  <si>
    <t>Property</t>
  </si>
  <si>
    <t>CRC</t>
  </si>
  <si>
    <t>On schedule</t>
  </si>
  <si>
    <t xml:space="preserve">XS  </t>
  </si>
  <si>
    <t>Admiral</t>
  </si>
  <si>
    <t>$1M xs</t>
  </si>
  <si>
    <t xml:space="preserve">GL </t>
  </si>
  <si>
    <t>Kinsale</t>
  </si>
  <si>
    <t>$1M/$2M</t>
  </si>
  <si>
    <t>Carola PTC LLC</t>
  </si>
  <si>
    <t xml:space="preserve">Cyber 1st XS </t>
  </si>
  <si>
    <t>Erisk</t>
  </si>
  <si>
    <t>Cyber 2nd XS</t>
  </si>
  <si>
    <t>Corvus</t>
  </si>
  <si>
    <t>Cyber 3rd XS</t>
  </si>
  <si>
    <t>Intact</t>
  </si>
  <si>
    <t>James Blakey</t>
  </si>
  <si>
    <t xml:space="preserve">Nomadx </t>
  </si>
  <si>
    <t>Marshall Lee Stocker</t>
  </si>
  <si>
    <t>WE Trust</t>
  </si>
  <si>
    <t>DO/EPL</t>
  </si>
  <si>
    <t>$2M DO
$1M EPL</t>
  </si>
  <si>
    <t>AXA XL</t>
  </si>
  <si>
    <t>BOP</t>
  </si>
  <si>
    <t xml:space="preserve">Hartford </t>
  </si>
  <si>
    <t>Lotus Fiduciary</t>
  </si>
  <si>
    <t>Allied World</t>
  </si>
  <si>
    <t>Templar</t>
  </si>
  <si>
    <t>At-Bay</t>
  </si>
  <si>
    <t xml:space="preserve">$1M </t>
  </si>
  <si>
    <t>Cyber 1st</t>
  </si>
  <si>
    <t>$1M x $1M</t>
  </si>
  <si>
    <t xml:space="preserve">Cyber 2nd </t>
  </si>
  <si>
    <t>$1M x $2M</t>
  </si>
  <si>
    <t>Cyber 3rd</t>
  </si>
  <si>
    <t>$700K SE</t>
  </si>
  <si>
    <t>Hartford</t>
  </si>
  <si>
    <t>Barry Thomashow</t>
  </si>
  <si>
    <t>Chubb</t>
  </si>
  <si>
    <t>Westerman Foundation</t>
  </si>
  <si>
    <t>DO EPL</t>
  </si>
  <si>
    <t>AIG</t>
  </si>
  <si>
    <t>Ranya Kahtan</t>
  </si>
  <si>
    <t>Lloyds (Hiscox)</t>
  </si>
  <si>
    <t>Clermont Trust USA LLC</t>
  </si>
  <si>
    <t>DO/EO</t>
  </si>
  <si>
    <t>QBE</t>
  </si>
  <si>
    <t>FIB</t>
  </si>
  <si>
    <t>Dakota Hill (PTC)</t>
  </si>
  <si>
    <t>James Carey Nord</t>
  </si>
  <si>
    <t>Siriuspoint Specialty</t>
  </si>
  <si>
    <t xml:space="preserve">Ascent Management LLC </t>
  </si>
  <si>
    <t>EO DO Package</t>
  </si>
  <si>
    <t>XS DO EO</t>
  </si>
  <si>
    <t>XS Cyber</t>
  </si>
  <si>
    <t>Westchester</t>
  </si>
  <si>
    <t>E-Risk</t>
  </si>
  <si>
    <t>Saul Costa</t>
  </si>
  <si>
    <t>Agency Fee</t>
  </si>
  <si>
    <t>Mark Seski</t>
  </si>
  <si>
    <t>Northway Wealth Advisors</t>
  </si>
  <si>
    <t>Gideon Rothschild</t>
  </si>
  <si>
    <t>Charles River</t>
  </si>
  <si>
    <t xml:space="preserve">DO EO </t>
  </si>
  <si>
    <t>Hanover</t>
  </si>
  <si>
    <t>Cyber 1st XS</t>
  </si>
  <si>
    <t>1248 Trust Company</t>
  </si>
  <si>
    <t xml:space="preserve">Federal Ins co </t>
  </si>
  <si>
    <t>1M</t>
  </si>
  <si>
    <t>DO EO</t>
  </si>
  <si>
    <t>Euclid</t>
  </si>
  <si>
    <t>Matthew Hoy</t>
  </si>
  <si>
    <t>Hiscox</t>
  </si>
  <si>
    <t xml:space="preserve"> </t>
  </si>
  <si>
    <t>RSUI</t>
  </si>
  <si>
    <t>Manton Foundation</t>
  </si>
  <si>
    <t>DO /EPL</t>
  </si>
  <si>
    <t>Everest</t>
  </si>
  <si>
    <t>Huntersure</t>
  </si>
  <si>
    <t>Judith Paulk Boyd</t>
  </si>
  <si>
    <t>XS TREO</t>
  </si>
  <si>
    <t>Astra Management</t>
  </si>
  <si>
    <t xml:space="preserve">Excess </t>
  </si>
  <si>
    <t xml:space="preserve">Federal Insurance </t>
  </si>
  <si>
    <t>Astra PTC</t>
  </si>
  <si>
    <t>XS EO DO</t>
  </si>
  <si>
    <t>Dellwood</t>
  </si>
  <si>
    <t>Chris Utecht</t>
  </si>
  <si>
    <t>Sonic Boom (PTC)</t>
  </si>
  <si>
    <t>Tillman Hartley</t>
  </si>
  <si>
    <t>WC</t>
  </si>
  <si>
    <t>Element Risk</t>
  </si>
  <si>
    <t>Northwest Trust</t>
  </si>
  <si>
    <t xml:space="preserve">$5M </t>
  </si>
  <si>
    <t>D&amp;O/EPL</t>
  </si>
  <si>
    <t xml:space="preserve">Northwest Trust </t>
  </si>
  <si>
    <t>BOP/UMB</t>
  </si>
  <si>
    <t>$1M/$2M liab, Various Prop</t>
  </si>
  <si>
    <t xml:space="preserve">Golden Heart Foundation </t>
  </si>
  <si>
    <t>EPL/DO</t>
  </si>
  <si>
    <t>Great American</t>
  </si>
  <si>
    <t xml:space="preserve">Convex North America </t>
  </si>
  <si>
    <t xml:space="preserve">Cyber </t>
  </si>
  <si>
    <t xml:space="preserve">BOP </t>
  </si>
  <si>
    <t>Deanna Meehan</t>
  </si>
  <si>
    <t>Pisces Foundation</t>
  </si>
  <si>
    <t>DO/EPL/FL</t>
  </si>
  <si>
    <t>Philly</t>
  </si>
  <si>
    <t xml:space="preserve"> Thomas John (TJ) Schrette</t>
  </si>
  <si>
    <t>Trustease</t>
  </si>
  <si>
    <t>Arch Spec</t>
  </si>
  <si>
    <t>John Dunnell</t>
  </si>
  <si>
    <t>David Amar</t>
  </si>
  <si>
    <t xml:space="preserve">Jun 1
</t>
  </si>
  <si>
    <t>Foundation Financial (Brody Rosenfeld)</t>
  </si>
  <si>
    <t xml:space="preserve">Jun 5
</t>
  </si>
  <si>
    <t>Lloyds of London</t>
  </si>
  <si>
    <t>RT</t>
  </si>
  <si>
    <t>Axiom Financials LLC</t>
  </si>
  <si>
    <t>$1M/$3M</t>
  </si>
  <si>
    <t>A7P</t>
  </si>
  <si>
    <t>D&amp;O/ EO/ EPL</t>
  </si>
  <si>
    <t>HDI Global</t>
  </si>
  <si>
    <t xml:space="preserve">A7P </t>
  </si>
  <si>
    <t xml:space="preserve">Jun 11
</t>
  </si>
  <si>
    <t xml:space="preserve">Corvus/Travelers </t>
  </si>
  <si>
    <t xml:space="preserve">June 11
</t>
  </si>
  <si>
    <t>Erisk/Scottsdale</t>
  </si>
  <si>
    <t>Scott Suzuki</t>
  </si>
  <si>
    <t>David Holland (Holland Trustees)</t>
  </si>
  <si>
    <t>Jennifer McCloskey (Zelvin Law)</t>
  </si>
  <si>
    <t>Randy Lewis</t>
  </si>
  <si>
    <t>Steven A. Braun</t>
  </si>
  <si>
    <t>TREO incl real estate servcs</t>
  </si>
  <si>
    <t>Excess</t>
  </si>
  <si>
    <t>Morton Branzburg</t>
  </si>
  <si>
    <t>RTS</t>
  </si>
  <si>
    <t>Accelerant</t>
  </si>
  <si>
    <t>Jim Zwiers</t>
  </si>
  <si>
    <t>TD Controllo</t>
  </si>
  <si>
    <t>Homesite Insurance</t>
  </si>
  <si>
    <t>Dallas College Foundation</t>
  </si>
  <si>
    <t>Loyal Trust 2 - Hunt Brothers</t>
  </si>
  <si>
    <t>General Security</t>
  </si>
  <si>
    <t>Norte Health Consulting, LLC</t>
  </si>
  <si>
    <t xml:space="preserve">Li-Costa Living Trust </t>
  </si>
  <si>
    <t>EO/DO/EPL</t>
  </si>
  <si>
    <t xml:space="preserve">Crum &amp; Forster </t>
  </si>
  <si>
    <t xml:space="preserve">Edelweiss V LLC </t>
  </si>
  <si>
    <t>FO TREO</t>
  </si>
  <si>
    <t xml:space="preserve">MSIC USA </t>
  </si>
  <si>
    <t>Northeast Private Trustee, Ltd.</t>
  </si>
  <si>
    <t>$2M + $500k punitive dam</t>
  </si>
  <si>
    <t xml:space="preserve">Borchers Cusano Trust Law </t>
  </si>
  <si>
    <t>LPL</t>
  </si>
  <si>
    <t>Borchers + Northeast</t>
  </si>
  <si>
    <t>Richard Neely</t>
  </si>
  <si>
    <t xml:space="preserve">Kevin Bemel </t>
  </si>
  <si>
    <t xml:space="preserve">Allied World </t>
  </si>
  <si>
    <t xml:space="preserve">$3M </t>
  </si>
  <si>
    <t>Dallas College Enterprise Ventures</t>
  </si>
  <si>
    <t xml:space="preserve">AIG </t>
  </si>
  <si>
    <t xml:space="preserve">2.5M </t>
  </si>
  <si>
    <t>Trustee Services Group</t>
  </si>
  <si>
    <t>Cyber (Primary)</t>
  </si>
  <si>
    <t>Excess Cyber</t>
  </si>
  <si>
    <t>Boxx (Lloyds)</t>
  </si>
  <si>
    <t xml:space="preserve">Excess Cyber </t>
  </si>
  <si>
    <t xml:space="preserve">Westfield </t>
  </si>
  <si>
    <t>5M</t>
  </si>
  <si>
    <t xml:space="preserve">Ironshore </t>
  </si>
  <si>
    <t xml:space="preserve">EPL </t>
  </si>
  <si>
    <t>Lloyd Levidow</t>
  </si>
  <si>
    <t>Trinity Fiduciary Services 
Greg Kummer</t>
  </si>
  <si>
    <t xml:space="preserve">Janette Brooks (D4) </t>
  </si>
  <si>
    <t xml:space="preserve">Excess Liability </t>
  </si>
  <si>
    <t xml:space="preserve">Huntersure </t>
  </si>
  <si>
    <t>2M xs 1M</t>
  </si>
  <si>
    <t>ERISA</t>
  </si>
  <si>
    <t xml:space="preserve">Edward White for Jack Nicholson </t>
  </si>
  <si>
    <t xml:space="preserve">Homesite (Bowhead) </t>
  </si>
  <si>
    <t>5M xs 5M</t>
  </si>
  <si>
    <t>James Benedek</t>
  </si>
  <si>
    <t>Axis Surplus Ins Co</t>
  </si>
  <si>
    <t xml:space="preserve">Crawford Trust </t>
  </si>
  <si>
    <t>Nexus</t>
  </si>
  <si>
    <t>Fortgera Specialty</t>
  </si>
  <si>
    <t>Lawrence (Larry) Lahr</t>
  </si>
  <si>
    <t>`</t>
  </si>
  <si>
    <t xml:space="preserve">Herman Smith </t>
  </si>
  <si>
    <t xml:space="preserve">DO/EO </t>
  </si>
  <si>
    <t xml:space="preserve">At-Bay </t>
  </si>
  <si>
    <t>Cyber 1st Excess</t>
  </si>
  <si>
    <t>Indian harbor</t>
  </si>
  <si>
    <t>1M xs 1M</t>
  </si>
  <si>
    <t>Cyber 2nd Excess</t>
  </si>
  <si>
    <t xml:space="preserve">E-Risk </t>
  </si>
  <si>
    <t>1M xs 2M</t>
  </si>
  <si>
    <t xml:space="preserve">Joe Mitchell </t>
  </si>
  <si>
    <t>Mitchell Rosen (Commercial Real Estate Solutions of Arizona)</t>
  </si>
  <si>
    <t>Pendleton Trust Company</t>
  </si>
  <si>
    <t>Crime</t>
  </si>
  <si>
    <t>Cincinnati Ins Co</t>
  </si>
  <si>
    <t>XS Crime</t>
  </si>
  <si>
    <t>Beazley</t>
  </si>
  <si>
    <t>Freedom Specialty</t>
  </si>
  <si>
    <t>Lubeck Gallo Family</t>
  </si>
  <si>
    <t xml:space="preserve">Erie Family Foundation </t>
  </si>
  <si>
    <t>Everest Indeminity</t>
  </si>
  <si>
    <t xml:space="preserve">Howard Choder (HJC Consulting) </t>
  </si>
  <si>
    <t xml:space="preserve">Center of the Golden One (Miracle of Love) </t>
  </si>
  <si>
    <t xml:space="preserve">DO/EPL </t>
  </si>
  <si>
    <t xml:space="preserve">Scottsdale </t>
  </si>
  <si>
    <t>Don Parkhill</t>
  </si>
  <si>
    <t xml:space="preserve">Corvalier Trust Company (Whold Co.) </t>
  </si>
  <si>
    <t>Baysore &amp; Christian</t>
  </si>
  <si>
    <t xml:space="preserve">Umbrella </t>
  </si>
  <si>
    <t xml:space="preserve">DO </t>
  </si>
  <si>
    <t xml:space="preserve">EPLI </t>
  </si>
  <si>
    <t>Markel</t>
  </si>
  <si>
    <t>XS SE</t>
  </si>
  <si>
    <t>Hudson</t>
  </si>
  <si>
    <t xml:space="preserve">$500K xs $500K </t>
  </si>
  <si>
    <t>Auto</t>
  </si>
  <si>
    <t>Felix Group</t>
  </si>
  <si>
    <t>Pearl Insurance</t>
  </si>
  <si>
    <t>$2M/$2M</t>
  </si>
  <si>
    <t xml:space="preserve">XS TREO </t>
  </si>
  <si>
    <t>Berkley</t>
  </si>
  <si>
    <t>$3M/$3M</t>
  </si>
  <si>
    <t>Various</t>
  </si>
  <si>
    <t>$500K</t>
  </si>
  <si>
    <t>EPLI</t>
  </si>
  <si>
    <t>Pearl</t>
  </si>
  <si>
    <t>Wind River Trust Company</t>
  </si>
  <si>
    <t>Kelly Winquist (KW Consulting Services)</t>
  </si>
  <si>
    <t xml:space="preserve">Edward White &amp; Tina Moss as Trustee for Jerome Moss </t>
  </si>
  <si>
    <t>Shaun Leathem</t>
  </si>
  <si>
    <t>Cherry Hill Investments LLC</t>
  </si>
  <si>
    <t>$1M GL
$5M UMB</t>
  </si>
  <si>
    <t>James Matthew Farris</t>
  </si>
  <si>
    <t>Upland Specialty</t>
  </si>
  <si>
    <t>1st XS</t>
  </si>
  <si>
    <t>$5M x $5M</t>
  </si>
  <si>
    <t>2nd XS</t>
  </si>
  <si>
    <t>Fair American</t>
  </si>
  <si>
    <t>$5M x $10M</t>
  </si>
  <si>
    <t>3rd XS</t>
  </si>
  <si>
    <t>Accelerant Specialty</t>
  </si>
  <si>
    <t>$5M x $15M</t>
  </si>
  <si>
    <t>4th XS</t>
  </si>
  <si>
    <t>Columbia Casualty</t>
  </si>
  <si>
    <t>$5M x $20M</t>
  </si>
  <si>
    <t>Amani LLC</t>
  </si>
  <si>
    <t>$1/2M GL
$1M UMB</t>
  </si>
  <si>
    <t>Precision Brokers LLC</t>
  </si>
  <si>
    <t>CYB</t>
  </si>
  <si>
    <t xml:space="preserve">$1M  </t>
  </si>
  <si>
    <t xml:space="preserve">Bristlecone Enterprises, Inc. </t>
  </si>
  <si>
    <t>EO / DO / EPL</t>
  </si>
  <si>
    <t>Bristlecone Enterprises, Inc.</t>
  </si>
  <si>
    <t>RIA E&amp;O W/ trustee endt</t>
  </si>
  <si>
    <t>Coalition</t>
  </si>
  <si>
    <t xml:space="preserve">Hanover </t>
  </si>
  <si>
    <t>Fortegra Specialty</t>
  </si>
  <si>
    <t xml:space="preserve"> XS SE Only</t>
  </si>
  <si>
    <t>$500k</t>
  </si>
  <si>
    <t>Westerman Family Office</t>
  </si>
  <si>
    <t>$4M</t>
  </si>
  <si>
    <t>Robert Moore</t>
  </si>
  <si>
    <t>Joseph Roskos</t>
  </si>
  <si>
    <t>Cyber / TECHEO</t>
  </si>
  <si>
    <t>2M</t>
  </si>
  <si>
    <t>Trustee Texas c/o Kevin Quinn</t>
  </si>
  <si>
    <t>Marlborough Galleries Inc</t>
  </si>
  <si>
    <t>DO+EPL</t>
  </si>
  <si>
    <t xml:space="preserve">HDI Global / Falcon </t>
  </si>
  <si>
    <t>Leytonstone PTC, Inc</t>
  </si>
  <si>
    <t>Maze PTC, Inc</t>
  </si>
  <si>
    <t>Diana Beinart</t>
  </si>
  <si>
    <t>XS</t>
  </si>
  <si>
    <t>USLI</t>
  </si>
  <si>
    <t>$300K / $100K
Contents</t>
  </si>
  <si>
    <t>5M xs 10M</t>
  </si>
  <si>
    <t>Westchester Fire</t>
  </si>
  <si>
    <t>5M xs 15M</t>
  </si>
  <si>
    <t>5M xs 20M</t>
  </si>
  <si>
    <t>Cyber Primary</t>
  </si>
  <si>
    <t>Boxx</t>
  </si>
  <si>
    <t>Cyber 2nd xs</t>
  </si>
  <si>
    <t>Kyle Gene Waggoner</t>
  </si>
  <si>
    <t>Pisces Inc.</t>
  </si>
  <si>
    <t>Falcon, CNA, Everest, Sompo</t>
  </si>
  <si>
    <t>CAN</t>
  </si>
  <si>
    <t>At-Bay, BOXX, Scottsdale</t>
  </si>
  <si>
    <t>$3M
$1M SE</t>
  </si>
  <si>
    <t>Madsen Assets</t>
  </si>
  <si>
    <t>DO+EO+EPL</t>
  </si>
  <si>
    <t>Lorenz</t>
  </si>
  <si>
    <t>Prof Liab (CPA Coverage)</t>
  </si>
  <si>
    <t>Trustee E&amp;O/ D&amp;O</t>
  </si>
  <si>
    <t>XS Trustee E&amp;O/ D&amp;O</t>
  </si>
  <si>
    <t>C&amp;F</t>
  </si>
  <si>
    <t>$1/2M</t>
  </si>
  <si>
    <t>Focus Private Trust Co</t>
  </si>
  <si>
    <t>D&amp;O+E&amp;O</t>
  </si>
  <si>
    <t>Premium &amp; Commission</t>
  </si>
  <si>
    <t>Pro-Rated Premium &amp; Commision (12M)</t>
  </si>
  <si>
    <t>BP Actual</t>
  </si>
  <si>
    <t>IPFS + Misc</t>
  </si>
  <si>
    <t>Anticipated additional Profit Commission</t>
  </si>
  <si>
    <t xml:space="preserve">increase BP for SPL </t>
  </si>
  <si>
    <t xml:space="preserve">Pipeline </t>
  </si>
  <si>
    <t>Total Revenue</t>
  </si>
  <si>
    <t>Monthly Premium Totals</t>
  </si>
  <si>
    <t>EBOR (WSG(PTC))</t>
  </si>
  <si>
    <t xml:space="preserve"> ARC</t>
  </si>
  <si>
    <t xml:space="preserve">RT </t>
  </si>
  <si>
    <t>Crawford Trust  extention to Oct</t>
  </si>
  <si>
    <t>Crawford Trust extention to Oct</t>
  </si>
  <si>
    <t>All Elememt Risk PC will move to MMA and commissions are estimated</t>
  </si>
  <si>
    <t xml:space="preserve">This spreadsheet is a rolling year. We have bound all policies up to 7/31/26.  8/1/26-12/31/26 are etsimated based on last years boob abd filed BORs </t>
  </si>
  <si>
    <t>Nomadx commissions are left blank because we receive the distribution from BP</t>
  </si>
  <si>
    <t>.</t>
  </si>
  <si>
    <t>We listed key new business.  That definition is we are either alredy in the market, received a BOR or under an NDA.  We have additional NB in the pipeline but not quite to the 75% sure level.</t>
  </si>
  <si>
    <r>
      <t>1.</t>
    </r>
    <r>
      <rPr>
        <b/>
        <sz val="11"/>
        <rFont val="Aptos Narrow"/>
        <family val="2"/>
        <scheme val="minor"/>
      </rPr>
      <t>Hall &amp; Diana</t>
    </r>
    <r>
      <rPr>
        <sz val="11"/>
        <color theme="1"/>
        <rFont val="Aptos Narrow"/>
        <family val="2"/>
        <scheme val="minor"/>
      </rPr>
      <t xml:space="preserve"> Premium apx $45k split between nomadx and excess
2.</t>
    </r>
    <r>
      <rPr>
        <b/>
        <sz val="11"/>
        <color theme="1"/>
        <rFont val="Aptos Narrow"/>
        <family val="2"/>
        <scheme val="minor"/>
      </rPr>
      <t>Confidential Family Office</t>
    </r>
    <r>
      <rPr>
        <sz val="11"/>
        <color theme="1"/>
        <rFont val="Aptos Narrow"/>
        <family val="2"/>
        <scheme val="minor"/>
      </rPr>
      <t xml:space="preserve"> PTC premium est $75K Commission 10K
3. </t>
    </r>
    <r>
      <rPr>
        <b/>
        <sz val="11"/>
        <color theme="1"/>
        <rFont val="Aptos Narrow"/>
        <family val="2"/>
        <scheme val="minor"/>
      </rPr>
      <t>Hilman</t>
    </r>
    <r>
      <rPr>
        <sz val="11"/>
        <color theme="1"/>
        <rFont val="Aptos Narrow"/>
        <family val="2"/>
        <scheme val="minor"/>
      </rPr>
      <t xml:space="preserve"> Trustee liability est $75K Premium $10k Comm
4.</t>
    </r>
    <r>
      <rPr>
        <b/>
        <sz val="11"/>
        <rFont val="Aptos Narrow"/>
        <family val="2"/>
        <scheme val="minor"/>
      </rPr>
      <t>Wealth Advisor Trust Company</t>
    </r>
    <r>
      <rPr>
        <sz val="11"/>
        <color theme="1"/>
        <rFont val="Aptos Narrow"/>
        <family val="2"/>
        <scheme val="minor"/>
      </rPr>
      <t xml:space="preserve"> $50K Premium $7.5 comm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</si>
</sst>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d"/>
    <numFmt numFmtId="165" formatCode="&quot;$&quot;#,##0"/>
    <numFmt numFmtId="166" formatCode="&quot;$&quot;#,##0.00"/>
    <numFmt numFmtId="167" formatCode="_(&quot;$&quot;* #,##0_);_(&quot;$&quot;* \(#,##0\);_(&quot;$&quot;* &quot;-&quot;??_);_(@_)"/>
    <numFmt numFmtId="168" formatCode="m/d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  <charset val="1"/>
    </font>
    <font>
      <sz val="10"/>
      <color rgb="FF5B6770"/>
      <name val="Arial"/>
      <family val="2"/>
    </font>
    <font>
      <sz val="12"/>
      <name val="Arial"/>
      <family val="2"/>
    </font>
    <font>
      <sz val="11"/>
      <name val="Aptos Display"/>
      <family val="2"/>
    </font>
    <font>
      <sz val="16"/>
      <name val="Arial"/>
      <family val="2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1E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</cellStyleXfs>
  <cellXfs count="163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6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 applyProtection="1">
      <alignment horizontal="center" vertical="center"/>
      <protection locked="0"/>
    </xf>
    <xf numFmtId="1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43" fontId="4" fillId="2" borderId="6" xfId="1" applyFont="1" applyFill="1" applyBorder="1" applyAlignment="1" applyProtection="1">
      <alignment horizontal="center" vertical="center"/>
      <protection locked="0"/>
    </xf>
    <xf numFmtId="43" fontId="4" fillId="2" borderId="7" xfId="1" applyFont="1" applyFill="1" applyBorder="1" applyAlignment="1" applyProtection="1">
      <alignment horizontal="center" vertical="center"/>
      <protection locked="0"/>
    </xf>
    <xf numFmtId="43" fontId="4" fillId="2" borderId="8" xfId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3" borderId="1" xfId="0" applyNumberFormat="1" applyFont="1" applyFill="1" applyBorder="1" applyAlignment="1" applyProtection="1">
      <alignment horizontal="center" vertical="center"/>
      <protection locked="0"/>
    </xf>
    <xf numFmtId="166" fontId="4" fillId="3" borderId="1" xfId="0" applyNumberFormat="1" applyFont="1" applyFill="1" applyBorder="1" applyAlignment="1" applyProtection="1">
      <alignment horizontal="center" vertical="center"/>
      <protection locked="0"/>
    </xf>
    <xf numFmtId="6" fontId="4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 applyProtection="1">
      <alignment horizontal="center" vertical="center"/>
      <protection locked="0"/>
    </xf>
    <xf numFmtId="166" fontId="4" fillId="5" borderId="1" xfId="0" applyNumberFormat="1" applyFont="1" applyFill="1" applyBorder="1" applyAlignment="1" applyProtection="1">
      <alignment horizontal="center" vertical="center"/>
      <protection locked="0"/>
    </xf>
    <xf numFmtId="166" fontId="4" fillId="2" borderId="6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166" fontId="4" fillId="2" borderId="7" xfId="0" applyNumberFormat="1" applyFont="1" applyFill="1" applyBorder="1" applyAlignment="1" applyProtection="1">
      <alignment horizontal="center" vertical="center"/>
      <protection locked="0"/>
    </xf>
    <xf numFmtId="166" fontId="4" fillId="2" borderId="8" xfId="0" applyNumberFormat="1" applyFont="1" applyFill="1" applyBorder="1" applyAlignment="1" applyProtection="1">
      <alignment horizontal="center" vertical="center"/>
      <protection locked="0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 applyProtection="1">
      <alignment horizontal="center" vertical="center"/>
      <protection locked="0"/>
    </xf>
    <xf numFmtId="6" fontId="4" fillId="4" borderId="1" xfId="0" applyNumberFormat="1" applyFont="1" applyFill="1" applyBorder="1" applyAlignment="1">
      <alignment horizontal="center" vertical="center" wrapText="1"/>
    </xf>
    <xf numFmtId="166" fontId="4" fillId="2" borderId="6" xfId="0" applyNumberFormat="1" applyFont="1" applyFill="1" applyBorder="1" applyAlignment="1">
      <alignment horizontal="center" vertical="center"/>
    </xf>
    <xf numFmtId="166" fontId="4" fillId="2" borderId="7" xfId="0" applyNumberFormat="1" applyFont="1" applyFill="1" applyBorder="1" applyAlignment="1">
      <alignment horizontal="center" vertical="center"/>
    </xf>
    <xf numFmtId="166" fontId="4" fillId="2" borderId="8" xfId="0" applyNumberFormat="1" applyFont="1" applyFill="1" applyBorder="1" applyAlignment="1">
      <alignment horizontal="center" vertical="center"/>
    </xf>
    <xf numFmtId="167" fontId="4" fillId="3" borderId="1" xfId="2" applyNumberFormat="1" applyFont="1" applyFill="1" applyBorder="1" applyAlignment="1">
      <alignment horizontal="center" vertical="center"/>
    </xf>
    <xf numFmtId="167" fontId="4" fillId="5" borderId="1" xfId="2" applyNumberFormat="1" applyFont="1" applyFill="1" applyBorder="1" applyAlignment="1">
      <alignment horizontal="center" vertical="center"/>
    </xf>
    <xf numFmtId="167" fontId="4" fillId="2" borderId="1" xfId="2" applyNumberFormat="1" applyFont="1" applyFill="1" applyBorder="1" applyAlignment="1">
      <alignment horizontal="center" vertical="center"/>
    </xf>
    <xf numFmtId="166" fontId="4" fillId="2" borderId="7" xfId="0" applyNumberFormat="1" applyFont="1" applyFill="1" applyBorder="1" applyAlignment="1">
      <alignment horizontal="center" vertical="center"/>
    </xf>
    <xf numFmtId="166" fontId="4" fillId="2" borderId="8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6" fontId="4" fillId="2" borderId="6" xfId="0" applyNumberFormat="1" applyFont="1" applyFill="1" applyBorder="1" applyAlignment="1">
      <alignment horizontal="center" vertical="center"/>
    </xf>
    <xf numFmtId="166" fontId="4" fillId="2" borderId="6" xfId="0" applyNumberFormat="1" applyFont="1" applyFill="1" applyBorder="1" applyAlignment="1" applyProtection="1">
      <alignment vertical="center"/>
      <protection locked="0"/>
    </xf>
    <xf numFmtId="166" fontId="4" fillId="2" borderId="7" xfId="0" applyNumberFormat="1" applyFont="1" applyFill="1" applyBorder="1" applyAlignment="1" applyProtection="1">
      <alignment vertical="center"/>
      <protection locked="0"/>
    </xf>
    <xf numFmtId="166" fontId="4" fillId="2" borderId="8" xfId="0" applyNumberFormat="1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horizontal="left" vertical="center" wrapText="1"/>
    </xf>
    <xf numFmtId="166" fontId="4" fillId="3" borderId="1" xfId="3" applyNumberFormat="1" applyFont="1" applyFill="1" applyBorder="1" applyAlignment="1">
      <alignment horizontal="center" vertical="center"/>
    </xf>
    <xf numFmtId="166" fontId="4" fillId="2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/>
    </xf>
    <xf numFmtId="0" fontId="4" fillId="2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  <protection locked="0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right" wrapText="1"/>
    </xf>
    <xf numFmtId="165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6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166" fontId="3" fillId="2" borderId="1" xfId="0" applyNumberFormat="1" applyFont="1" applyFill="1" applyBorder="1" applyAlignment="1">
      <alignment horizontal="center" vertical="center" wrapText="1"/>
    </xf>
    <xf numFmtId="44" fontId="3" fillId="2" borderId="1" xfId="2" applyFont="1" applyFill="1" applyBorder="1" applyAlignment="1">
      <alignment horizontal="center" wrapText="1"/>
    </xf>
    <xf numFmtId="44" fontId="4" fillId="3" borderId="1" xfId="2" applyFont="1" applyFill="1" applyBorder="1" applyAlignment="1" applyProtection="1">
      <alignment horizontal="left" vertical="center" wrapText="1"/>
      <protection locked="0"/>
    </xf>
    <xf numFmtId="44" fontId="4" fillId="2" borderId="2" xfId="2" applyFont="1" applyFill="1" applyBorder="1" applyAlignment="1">
      <alignment vertical="center" wrapText="1"/>
    </xf>
    <xf numFmtId="44" fontId="4" fillId="2" borderId="4" xfId="2" applyFont="1" applyFill="1" applyBorder="1" applyAlignment="1">
      <alignment vertical="center" wrapText="1"/>
    </xf>
    <xf numFmtId="44" fontId="4" fillId="2" borderId="9" xfId="2" applyFont="1" applyFill="1" applyBorder="1" applyAlignment="1">
      <alignment vertical="center" wrapText="1"/>
    </xf>
    <xf numFmtId="44" fontId="4" fillId="4" borderId="1" xfId="2" applyFont="1" applyFill="1" applyBorder="1" applyAlignment="1">
      <alignment horizontal="left" vertical="center" wrapText="1"/>
    </xf>
    <xf numFmtId="44" fontId="4" fillId="4" borderId="1" xfId="2" applyFont="1" applyFill="1" applyBorder="1" applyAlignment="1">
      <alignment vertical="center" wrapText="1"/>
    </xf>
    <xf numFmtId="44" fontId="4" fillId="2" borderId="9" xfId="2" applyFont="1" applyFill="1" applyBorder="1" applyAlignment="1">
      <alignment horizontal="center" vertical="center" wrapText="1"/>
    </xf>
    <xf numFmtId="44" fontId="4" fillId="3" borderId="1" xfId="2" applyFont="1" applyFill="1" applyBorder="1" applyAlignment="1">
      <alignment horizontal="left" vertical="center" wrapText="1"/>
    </xf>
    <xf numFmtId="44" fontId="4" fillId="2" borderId="2" xfId="2" applyFont="1" applyFill="1" applyBorder="1" applyAlignment="1">
      <alignment horizontal="left" vertical="center" wrapText="1"/>
    </xf>
    <xf numFmtId="44" fontId="4" fillId="6" borderId="1" xfId="2" applyFont="1" applyFill="1" applyBorder="1" applyAlignment="1">
      <alignment horizontal="left" vertical="center" wrapText="1"/>
    </xf>
    <xf numFmtId="44" fontId="4" fillId="3" borderId="1" xfId="2" applyFont="1" applyFill="1" applyBorder="1" applyAlignment="1">
      <alignment vertical="center" wrapText="1"/>
    </xf>
    <xf numFmtId="44" fontId="4" fillId="3" borderId="1" xfId="2" applyFont="1" applyFill="1" applyBorder="1" applyAlignment="1">
      <alignment horizontal="left" vertical="center"/>
    </xf>
    <xf numFmtId="44" fontId="4" fillId="0" borderId="1" xfId="2" applyFont="1" applyBorder="1" applyAlignment="1">
      <alignment vertical="center" wrapText="1"/>
    </xf>
    <xf numFmtId="44" fontId="4" fillId="0" borderId="0" xfId="2" applyFont="1" applyAlignment="1">
      <alignment vertical="center" wrapText="1"/>
    </xf>
    <xf numFmtId="44" fontId="0" fillId="0" borderId="0" xfId="2" applyFont="1"/>
    <xf numFmtId="44" fontId="4" fillId="2" borderId="3" xfId="2" applyFont="1" applyFill="1" applyBorder="1" applyAlignment="1">
      <alignment vertical="center" wrapText="1"/>
    </xf>
    <xf numFmtId="44" fontId="4" fillId="2" borderId="5" xfId="2" applyFont="1" applyFill="1" applyBorder="1" applyAlignment="1">
      <alignment vertical="center" wrapText="1"/>
    </xf>
    <xf numFmtId="44" fontId="4" fillId="2" borderId="10" xfId="2" applyFont="1" applyFill="1" applyBorder="1" applyAlignment="1">
      <alignment vertical="center" wrapText="1"/>
    </xf>
    <xf numFmtId="44" fontId="4" fillId="2" borderId="10" xfId="2" applyFont="1" applyFill="1" applyBorder="1" applyAlignment="1">
      <alignment horizontal="center" vertical="center" wrapText="1"/>
    </xf>
    <xf numFmtId="44" fontId="4" fillId="2" borderId="3" xfId="2" applyFont="1" applyFill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4" fillId="0" borderId="11" xfId="0" applyFont="1" applyBorder="1" applyAlignment="1">
      <alignment horizontal="right" wrapText="1"/>
    </xf>
    <xf numFmtId="0" fontId="4" fillId="0" borderId="13" xfId="0" applyFont="1" applyBorder="1" applyAlignment="1">
      <alignment horizontal="right" wrapText="1"/>
    </xf>
    <xf numFmtId="0" fontId="4" fillId="0" borderId="12" xfId="0" applyFont="1" applyBorder="1" applyAlignment="1">
      <alignment horizontal="right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center"/>
    </xf>
    <xf numFmtId="166" fontId="4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Normal 2" xfId="3" xr:uid="{6ED1FCEA-ADB1-40F6-A027-7C19B8C7A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C6D1-FA39-44AA-8C0E-7C48CA83B695}">
  <dimension ref="A1:K324"/>
  <sheetViews>
    <sheetView tabSelected="1" topLeftCell="A303" zoomScale="90" zoomScaleNormal="90" workbookViewId="0">
      <selection activeCell="D324" sqref="D324"/>
    </sheetView>
  </sheetViews>
  <sheetFormatPr defaultRowHeight="14.35" x14ac:dyDescent="0.5"/>
  <cols>
    <col min="1" max="1" width="27.05859375" customWidth="1"/>
    <col min="2" max="2" width="17.05859375" customWidth="1"/>
    <col min="3" max="3" width="15.52734375" customWidth="1"/>
    <col min="4" max="4" width="24.8203125" customWidth="1"/>
    <col min="5" max="5" width="16.9375" customWidth="1"/>
    <col min="6" max="6" width="11.8203125" customWidth="1"/>
    <col min="7" max="7" width="14.41015625" customWidth="1"/>
    <col min="8" max="8" width="14.46875" customWidth="1"/>
    <col min="9" max="9" width="17.1171875" customWidth="1"/>
    <col min="10" max="10" width="13" style="131" bestFit="1" customWidth="1"/>
    <col min="11" max="11" width="14.1171875" style="131" customWidth="1"/>
  </cols>
  <sheetData>
    <row r="1" spans="1:11" ht="27.35" x14ac:dyDescent="0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15" t="s">
        <v>404</v>
      </c>
      <c r="J1" s="116" t="s">
        <v>9</v>
      </c>
      <c r="K1" s="116" t="s">
        <v>10</v>
      </c>
    </row>
    <row r="2" spans="1:11" x14ac:dyDescent="0.5">
      <c r="A2" s="5" t="s">
        <v>11</v>
      </c>
      <c r="B2" s="7">
        <v>45658</v>
      </c>
      <c r="C2" s="5" t="s">
        <v>12</v>
      </c>
      <c r="D2" s="5"/>
      <c r="E2" s="5" t="s">
        <v>13</v>
      </c>
      <c r="F2" s="5"/>
      <c r="G2" s="46">
        <v>100000</v>
      </c>
      <c r="H2" s="47">
        <v>10000</v>
      </c>
      <c r="I2" s="4"/>
      <c r="J2" s="10"/>
      <c r="K2" s="11"/>
    </row>
    <row r="3" spans="1:11" x14ac:dyDescent="0.5">
      <c r="A3" s="5" t="s">
        <v>14</v>
      </c>
      <c r="B3" s="7">
        <v>44562</v>
      </c>
      <c r="C3" s="5" t="s">
        <v>15</v>
      </c>
      <c r="D3" s="5" t="s">
        <v>16</v>
      </c>
      <c r="E3" s="12" t="s">
        <v>17</v>
      </c>
      <c r="F3" s="5" t="s">
        <v>18</v>
      </c>
      <c r="G3" s="8">
        <v>13125</v>
      </c>
      <c r="H3" s="4"/>
      <c r="I3" s="4"/>
      <c r="J3" s="13"/>
      <c r="K3" s="14"/>
    </row>
    <row r="4" spans="1:11" x14ac:dyDescent="0.5">
      <c r="A4" s="5" t="s">
        <v>19</v>
      </c>
      <c r="B4" s="7">
        <v>44562</v>
      </c>
      <c r="C4" s="5" t="s">
        <v>15</v>
      </c>
      <c r="D4" s="5" t="s">
        <v>16</v>
      </c>
      <c r="E4" s="12" t="s">
        <v>17</v>
      </c>
      <c r="F4" s="5" t="s">
        <v>18</v>
      </c>
      <c r="G4" s="8">
        <v>8925</v>
      </c>
      <c r="H4" s="4"/>
      <c r="I4" s="4"/>
      <c r="J4" s="13"/>
      <c r="K4" s="14"/>
    </row>
    <row r="5" spans="1:11" x14ac:dyDescent="0.5">
      <c r="A5" s="5" t="s">
        <v>20</v>
      </c>
      <c r="B5" s="7">
        <v>44927</v>
      </c>
      <c r="C5" s="5" t="s">
        <v>15</v>
      </c>
      <c r="D5" s="5" t="s">
        <v>16</v>
      </c>
      <c r="E5" s="5" t="s">
        <v>21</v>
      </c>
      <c r="F5" s="15" t="s">
        <v>18</v>
      </c>
      <c r="G5" s="8">
        <v>2625</v>
      </c>
      <c r="H5" s="16"/>
      <c r="I5" s="16"/>
      <c r="J5" s="13"/>
      <c r="K5" s="14"/>
    </row>
    <row r="6" spans="1:11" x14ac:dyDescent="0.5">
      <c r="A6" s="12" t="s">
        <v>22</v>
      </c>
      <c r="B6" s="7">
        <v>44930</v>
      </c>
      <c r="C6" s="12" t="s">
        <v>23</v>
      </c>
      <c r="D6" s="12" t="s">
        <v>24</v>
      </c>
      <c r="E6" s="12" t="s">
        <v>17</v>
      </c>
      <c r="F6" s="17" t="s">
        <v>18</v>
      </c>
      <c r="G6" s="18">
        <v>1700</v>
      </c>
      <c r="H6" s="16">
        <f>G6*0.12</f>
        <v>204</v>
      </c>
      <c r="I6" s="16"/>
      <c r="J6" s="13"/>
      <c r="K6" s="14"/>
    </row>
    <row r="7" spans="1:11" ht="27.35" x14ac:dyDescent="0.5">
      <c r="A7" s="12" t="s">
        <v>25</v>
      </c>
      <c r="B7" s="7">
        <v>46027</v>
      </c>
      <c r="C7" s="12" t="s">
        <v>26</v>
      </c>
      <c r="D7" s="12" t="s">
        <v>27</v>
      </c>
      <c r="E7" s="12" t="s">
        <v>17</v>
      </c>
      <c r="F7" s="17" t="s">
        <v>18</v>
      </c>
      <c r="G7" s="18">
        <v>6291</v>
      </c>
      <c r="H7" s="16">
        <f>G7*12.5%</f>
        <v>786.375</v>
      </c>
      <c r="I7" s="19"/>
      <c r="J7" s="13"/>
      <c r="K7" s="14"/>
    </row>
    <row r="8" spans="1:11" x14ac:dyDescent="0.5">
      <c r="A8" s="12" t="s">
        <v>25</v>
      </c>
      <c r="B8" s="7">
        <v>46027</v>
      </c>
      <c r="C8" s="12" t="s">
        <v>28</v>
      </c>
      <c r="D8" s="12" t="s">
        <v>29</v>
      </c>
      <c r="E8" s="12" t="s">
        <v>17</v>
      </c>
      <c r="F8" s="17" t="s">
        <v>30</v>
      </c>
      <c r="G8" s="18">
        <v>2520</v>
      </c>
      <c r="H8" s="16">
        <f>G8*12.5%</f>
        <v>315</v>
      </c>
      <c r="I8" s="20"/>
      <c r="J8" s="13"/>
      <c r="K8" s="14"/>
    </row>
    <row r="9" spans="1:11" x14ac:dyDescent="0.5">
      <c r="A9" s="12" t="s">
        <v>25</v>
      </c>
      <c r="B9" s="7">
        <v>46027</v>
      </c>
      <c r="C9" s="12" t="s">
        <v>31</v>
      </c>
      <c r="D9" s="12" t="s">
        <v>32</v>
      </c>
      <c r="E9" s="12" t="s">
        <v>17</v>
      </c>
      <c r="F9" s="17" t="s">
        <v>18</v>
      </c>
      <c r="G9" s="18">
        <v>9589.9699999999993</v>
      </c>
      <c r="H9" s="16">
        <f>G9*12.5%</f>
        <v>1198.7462499999999</v>
      </c>
      <c r="I9" s="20"/>
      <c r="J9" s="13"/>
      <c r="K9" s="14"/>
    </row>
    <row r="10" spans="1:11" x14ac:dyDescent="0.5">
      <c r="A10" s="12" t="s">
        <v>25</v>
      </c>
      <c r="B10" s="7">
        <v>46027</v>
      </c>
      <c r="C10" s="12" t="s">
        <v>31</v>
      </c>
      <c r="D10" s="12" t="s">
        <v>33</v>
      </c>
      <c r="E10" s="12" t="s">
        <v>17</v>
      </c>
      <c r="F10" s="17" t="s">
        <v>34</v>
      </c>
      <c r="G10" s="18">
        <v>4728.49</v>
      </c>
      <c r="H10" s="16">
        <f>G10*12.5%</f>
        <v>591.06124999999997</v>
      </c>
      <c r="I10" s="21"/>
      <c r="J10" s="13"/>
      <c r="K10" s="14"/>
    </row>
    <row r="11" spans="1:11" x14ac:dyDescent="0.5">
      <c r="A11" s="12" t="s">
        <v>35</v>
      </c>
      <c r="B11" s="7">
        <v>44942</v>
      </c>
      <c r="C11" s="12" t="s">
        <v>36</v>
      </c>
      <c r="D11" s="12" t="s">
        <v>27</v>
      </c>
      <c r="E11" s="12" t="s">
        <v>407</v>
      </c>
      <c r="F11" s="17" t="s">
        <v>18</v>
      </c>
      <c r="G11" s="18">
        <v>44127.66</v>
      </c>
      <c r="H11" s="16">
        <f>G11*11.5%</f>
        <v>5074.6809000000003</v>
      </c>
      <c r="I11" s="16"/>
      <c r="J11" s="13"/>
      <c r="K11" s="14"/>
    </row>
    <row r="12" spans="1:11" x14ac:dyDescent="0.5">
      <c r="A12" s="12" t="s">
        <v>35</v>
      </c>
      <c r="B12" s="7">
        <v>44942</v>
      </c>
      <c r="C12" s="12" t="s">
        <v>37</v>
      </c>
      <c r="D12" s="12" t="s">
        <v>38</v>
      </c>
      <c r="E12" s="12" t="s">
        <v>17</v>
      </c>
      <c r="F12" s="17" t="s">
        <v>39</v>
      </c>
      <c r="G12" s="18">
        <v>8546</v>
      </c>
      <c r="H12" s="16">
        <f>G12*12.5%</f>
        <v>1068.25</v>
      </c>
      <c r="I12" s="16"/>
      <c r="J12" s="13"/>
      <c r="K12" s="14"/>
    </row>
    <row r="13" spans="1:11" x14ac:dyDescent="0.5">
      <c r="A13" s="12" t="s">
        <v>40</v>
      </c>
      <c r="B13" s="7">
        <v>45676</v>
      </c>
      <c r="C13" s="12" t="s">
        <v>41</v>
      </c>
      <c r="D13" s="12" t="s">
        <v>42</v>
      </c>
      <c r="E13" s="12" t="s">
        <v>17</v>
      </c>
      <c r="F13" s="17" t="s">
        <v>39</v>
      </c>
      <c r="G13" s="18">
        <v>48000</v>
      </c>
      <c r="H13" s="16">
        <f>G13*12.5%</f>
        <v>6000</v>
      </c>
      <c r="I13" s="16"/>
      <c r="J13" s="13"/>
      <c r="K13" s="14"/>
    </row>
    <row r="14" spans="1:11" x14ac:dyDescent="0.5">
      <c r="A14" s="12" t="s">
        <v>40</v>
      </c>
      <c r="B14" s="7">
        <v>45676</v>
      </c>
      <c r="C14" s="12" t="s">
        <v>37</v>
      </c>
      <c r="D14" s="12" t="s">
        <v>42</v>
      </c>
      <c r="E14" s="12" t="s">
        <v>17</v>
      </c>
      <c r="F14" s="17" t="s">
        <v>43</v>
      </c>
      <c r="G14" s="18">
        <v>11649</v>
      </c>
      <c r="H14" s="16">
        <f>G14*12.5%</f>
        <v>1456.125</v>
      </c>
      <c r="I14" s="16"/>
      <c r="J14" s="13"/>
      <c r="K14" s="14"/>
    </row>
    <row r="15" spans="1:11" x14ac:dyDescent="0.5">
      <c r="A15" s="12" t="s">
        <v>40</v>
      </c>
      <c r="B15" s="7">
        <v>45676</v>
      </c>
      <c r="C15" s="12" t="s">
        <v>44</v>
      </c>
      <c r="D15" s="12" t="s">
        <v>45</v>
      </c>
      <c r="E15" s="12" t="s">
        <v>17</v>
      </c>
      <c r="F15" s="17" t="s">
        <v>34</v>
      </c>
      <c r="G15" s="18">
        <v>11199.79</v>
      </c>
      <c r="H15" s="16">
        <f>G15*12.5%</f>
        <v>1399.9737500000001</v>
      </c>
      <c r="I15" s="16"/>
      <c r="J15" s="13"/>
      <c r="K15" s="14"/>
    </row>
    <row r="16" spans="1:11" ht="27.35" x14ac:dyDescent="0.5">
      <c r="A16" s="12" t="s">
        <v>46</v>
      </c>
      <c r="B16" s="7">
        <v>45683</v>
      </c>
      <c r="C16" s="12" t="s">
        <v>47</v>
      </c>
      <c r="D16" s="12" t="s">
        <v>48</v>
      </c>
      <c r="E16" s="12" t="s">
        <v>17</v>
      </c>
      <c r="F16" s="17" t="s">
        <v>39</v>
      </c>
      <c r="G16" s="18">
        <v>4200</v>
      </c>
      <c r="H16" s="16">
        <f>G16*12.5%</f>
        <v>525</v>
      </c>
      <c r="I16" s="16"/>
      <c r="J16" s="13"/>
      <c r="K16" s="14"/>
    </row>
    <row r="17" spans="1:11" x14ac:dyDescent="0.5">
      <c r="A17" s="12" t="s">
        <v>49</v>
      </c>
      <c r="B17" s="7">
        <v>45684</v>
      </c>
      <c r="C17" s="12" t="s">
        <v>23</v>
      </c>
      <c r="D17" s="12" t="s">
        <v>24</v>
      </c>
      <c r="E17" s="12" t="s">
        <v>17</v>
      </c>
      <c r="F17" s="17" t="s">
        <v>18</v>
      </c>
      <c r="G17" s="18">
        <v>1031.75</v>
      </c>
      <c r="H17" s="16">
        <f t="shared" ref="H17:H18" si="0">G17*0.125</f>
        <v>128.96875</v>
      </c>
      <c r="I17" s="16"/>
      <c r="J17" s="13"/>
      <c r="K17" s="14"/>
    </row>
    <row r="18" spans="1:11" x14ac:dyDescent="0.5">
      <c r="A18" s="12" t="s">
        <v>50</v>
      </c>
      <c r="B18" s="7">
        <v>46049</v>
      </c>
      <c r="C18" s="12" t="s">
        <v>47</v>
      </c>
      <c r="D18" s="12" t="s">
        <v>51</v>
      </c>
      <c r="E18" s="12" t="s">
        <v>406</v>
      </c>
      <c r="F18" s="17" t="s">
        <v>18</v>
      </c>
      <c r="G18" s="18">
        <v>8886.89</v>
      </c>
      <c r="H18" s="16">
        <f t="shared" si="0"/>
        <v>1110.8612499999999</v>
      </c>
      <c r="I18" s="16"/>
      <c r="J18" s="13"/>
      <c r="K18" s="14"/>
    </row>
    <row r="19" spans="1:11" ht="27.35" x14ac:dyDescent="0.5">
      <c r="A19" s="12" t="s">
        <v>52</v>
      </c>
      <c r="B19" s="7">
        <v>44955</v>
      </c>
      <c r="C19" s="12" t="s">
        <v>53</v>
      </c>
      <c r="D19" s="12" t="s">
        <v>54</v>
      </c>
      <c r="E19" s="12" t="s">
        <v>17</v>
      </c>
      <c r="F19" s="17" t="s">
        <v>18</v>
      </c>
      <c r="G19" s="18">
        <v>1538.74</v>
      </c>
      <c r="H19" s="16">
        <f>G19*0.125</f>
        <v>192.3425</v>
      </c>
      <c r="I19" s="16"/>
      <c r="J19" s="13"/>
      <c r="K19" s="14"/>
    </row>
    <row r="20" spans="1:11" ht="27.35" x14ac:dyDescent="0.5">
      <c r="A20" s="12" t="s">
        <v>52</v>
      </c>
      <c r="B20" s="7">
        <v>44955</v>
      </c>
      <c r="C20" s="12" t="s">
        <v>44</v>
      </c>
      <c r="D20" s="12" t="s">
        <v>45</v>
      </c>
      <c r="E20" s="12" t="s">
        <v>17</v>
      </c>
      <c r="F20" s="17" t="s">
        <v>18</v>
      </c>
      <c r="G20" s="18">
        <v>1048.9000000000001</v>
      </c>
      <c r="H20" s="16">
        <f>G20*0.125</f>
        <v>131.11250000000001</v>
      </c>
      <c r="I20" s="16"/>
      <c r="J20" s="13"/>
      <c r="K20" s="14"/>
    </row>
    <row r="21" spans="1:11" ht="27.35" x14ac:dyDescent="0.5">
      <c r="A21" s="12" t="s">
        <v>52</v>
      </c>
      <c r="B21" s="7">
        <v>44955</v>
      </c>
      <c r="C21" s="12" t="s">
        <v>55</v>
      </c>
      <c r="D21" s="12" t="s">
        <v>56</v>
      </c>
      <c r="E21" s="12" t="s">
        <v>17</v>
      </c>
      <c r="F21" s="17" t="s">
        <v>18</v>
      </c>
      <c r="G21" s="18">
        <v>869</v>
      </c>
      <c r="H21" s="16">
        <f>G21*12.5%</f>
        <v>108.625</v>
      </c>
      <c r="I21" s="16"/>
      <c r="J21" s="22"/>
      <c r="K21" s="23"/>
    </row>
    <row r="22" spans="1:11" x14ac:dyDescent="0.5">
      <c r="A22" s="24"/>
      <c r="B22" s="25"/>
      <c r="C22" s="24"/>
      <c r="D22" s="24"/>
      <c r="E22" s="24"/>
      <c r="F22" s="26"/>
      <c r="G22" s="27"/>
      <c r="H22" s="28"/>
      <c r="I22" s="28">
        <f>SUM(H2:H22)</f>
        <v>30291.122149999999</v>
      </c>
      <c r="J22" s="117">
        <v>5975.05</v>
      </c>
      <c r="K22" s="117">
        <v>99.6</v>
      </c>
    </row>
    <row r="23" spans="1:11" x14ac:dyDescent="0.5">
      <c r="A23" s="5" t="s">
        <v>57</v>
      </c>
      <c r="B23" s="7">
        <v>44959</v>
      </c>
      <c r="C23" s="5" t="s">
        <v>44</v>
      </c>
      <c r="D23" s="5" t="s">
        <v>58</v>
      </c>
      <c r="E23" s="5" t="s">
        <v>17</v>
      </c>
      <c r="F23" s="5" t="s">
        <v>39</v>
      </c>
      <c r="G23" s="8">
        <v>12000</v>
      </c>
      <c r="H23" s="9">
        <f>G23*11%</f>
        <v>1320</v>
      </c>
      <c r="I23" s="9"/>
      <c r="J23" s="118"/>
      <c r="K23" s="132"/>
    </row>
    <row r="24" spans="1:11" ht="27.35" x14ac:dyDescent="0.5">
      <c r="A24" s="5" t="s">
        <v>57</v>
      </c>
      <c r="B24" s="7" t="s">
        <v>59</v>
      </c>
      <c r="C24" s="5" t="s">
        <v>47</v>
      </c>
      <c r="D24" s="5" t="s">
        <v>60</v>
      </c>
      <c r="E24" s="5" t="s">
        <v>17</v>
      </c>
      <c r="F24" s="5" t="s">
        <v>34</v>
      </c>
      <c r="G24" s="8">
        <v>3747</v>
      </c>
      <c r="H24" s="9">
        <f>G24*12%</f>
        <v>449.64</v>
      </c>
      <c r="I24" s="9"/>
      <c r="J24" s="119"/>
      <c r="K24" s="133"/>
    </row>
    <row r="25" spans="1:11" ht="27.35" x14ac:dyDescent="0.5">
      <c r="A25" s="6" t="s">
        <v>405</v>
      </c>
      <c r="B25" s="7" t="s">
        <v>61</v>
      </c>
      <c r="C25" s="6" t="s">
        <v>62</v>
      </c>
      <c r="D25" s="5" t="s">
        <v>63</v>
      </c>
      <c r="E25" s="5" t="s">
        <v>407</v>
      </c>
      <c r="F25" s="6" t="s">
        <v>39</v>
      </c>
      <c r="G25" s="29">
        <v>106777</v>
      </c>
      <c r="H25" s="9">
        <f>G25*12%</f>
        <v>12813.24</v>
      </c>
      <c r="I25" s="9"/>
      <c r="J25" s="119"/>
      <c r="K25" s="133"/>
    </row>
    <row r="26" spans="1:11" ht="27.35" x14ac:dyDescent="0.5">
      <c r="A26" s="5" t="s">
        <v>64</v>
      </c>
      <c r="B26" s="7">
        <v>45693</v>
      </c>
      <c r="C26" s="5" t="s">
        <v>28</v>
      </c>
      <c r="D26" s="5" t="s">
        <v>65</v>
      </c>
      <c r="E26" s="5" t="s">
        <v>17</v>
      </c>
      <c r="F26" s="5" t="s">
        <v>18</v>
      </c>
      <c r="G26" s="8">
        <v>1856</v>
      </c>
      <c r="H26" s="9">
        <f>G26*12.5%</f>
        <v>232</v>
      </c>
      <c r="I26" s="9"/>
      <c r="J26" s="119"/>
      <c r="K26" s="133"/>
    </row>
    <row r="27" spans="1:11" ht="27.35" x14ac:dyDescent="0.5">
      <c r="A27" s="5" t="s">
        <v>66</v>
      </c>
      <c r="B27" s="7">
        <v>44964</v>
      </c>
      <c r="C27" s="5" t="s">
        <v>55</v>
      </c>
      <c r="D27" s="5" t="s">
        <v>63</v>
      </c>
      <c r="E27" s="5" t="s">
        <v>406</v>
      </c>
      <c r="F27" s="5" t="s">
        <v>18</v>
      </c>
      <c r="G27" s="8">
        <v>1775</v>
      </c>
      <c r="H27" s="16">
        <f>G27*12.5%</f>
        <v>221.875</v>
      </c>
      <c r="I27" s="16"/>
      <c r="J27" s="119"/>
      <c r="K27" s="133"/>
    </row>
    <row r="28" spans="1:11" x14ac:dyDescent="0.5">
      <c r="A28" s="12" t="s">
        <v>67</v>
      </c>
      <c r="B28" s="7">
        <v>46073</v>
      </c>
      <c r="C28" s="12" t="s">
        <v>44</v>
      </c>
      <c r="D28" s="12" t="s">
        <v>58</v>
      </c>
      <c r="E28" s="12" t="s">
        <v>17</v>
      </c>
      <c r="F28" s="17" t="s">
        <v>18</v>
      </c>
      <c r="G28" s="18">
        <v>1295</v>
      </c>
      <c r="H28" s="16">
        <f>G28*12.5%</f>
        <v>161.875</v>
      </c>
      <c r="I28" s="16"/>
      <c r="J28" s="119"/>
      <c r="K28" s="133"/>
    </row>
    <row r="29" spans="1:11" ht="27.35" x14ac:dyDescent="0.5">
      <c r="A29" s="5" t="s">
        <v>68</v>
      </c>
      <c r="B29" s="7">
        <v>45342</v>
      </c>
      <c r="C29" s="5" t="s">
        <v>69</v>
      </c>
      <c r="D29" s="5" t="s">
        <v>70</v>
      </c>
      <c r="E29" s="5" t="s">
        <v>71</v>
      </c>
      <c r="F29" s="5" t="s">
        <v>39</v>
      </c>
      <c r="G29" s="8">
        <v>6313</v>
      </c>
      <c r="H29" s="9">
        <f>G29*0.1</f>
        <v>631.30000000000007</v>
      </c>
      <c r="I29" s="9"/>
      <c r="J29" s="119"/>
      <c r="K29" s="133"/>
    </row>
    <row r="30" spans="1:11" x14ac:dyDescent="0.5">
      <c r="A30" s="5" t="s">
        <v>68</v>
      </c>
      <c r="B30" s="7">
        <v>46073</v>
      </c>
      <c r="C30" s="5" t="s">
        <v>72</v>
      </c>
      <c r="D30" s="5" t="s">
        <v>70</v>
      </c>
      <c r="E30" s="5" t="s">
        <v>73</v>
      </c>
      <c r="F30" s="5" t="s">
        <v>74</v>
      </c>
      <c r="G30" s="8"/>
      <c r="H30" s="9"/>
      <c r="I30" s="9"/>
      <c r="J30" s="119"/>
      <c r="K30" s="133"/>
    </row>
    <row r="31" spans="1:11" ht="27.35" x14ac:dyDescent="0.5">
      <c r="A31" s="5" t="s">
        <v>68</v>
      </c>
      <c r="B31" s="7">
        <v>46073</v>
      </c>
      <c r="C31" s="5" t="s">
        <v>75</v>
      </c>
      <c r="D31" s="5" t="s">
        <v>70</v>
      </c>
      <c r="E31" s="5" t="s">
        <v>76</v>
      </c>
      <c r="F31" s="15">
        <v>7761000</v>
      </c>
      <c r="G31" s="8">
        <v>45706</v>
      </c>
      <c r="H31" s="9">
        <v>6855.9</v>
      </c>
      <c r="I31" s="9"/>
      <c r="J31" s="119"/>
      <c r="K31" s="133"/>
    </row>
    <row r="32" spans="1:11" x14ac:dyDescent="0.5">
      <c r="A32" s="5" t="s">
        <v>68</v>
      </c>
      <c r="B32" s="7">
        <v>45708</v>
      </c>
      <c r="C32" s="5" t="s">
        <v>77</v>
      </c>
      <c r="D32" s="5"/>
      <c r="E32" s="5"/>
      <c r="F32" s="15"/>
      <c r="G32" s="8"/>
      <c r="H32" s="16">
        <v>5000</v>
      </c>
      <c r="I32" s="16"/>
      <c r="J32" s="119"/>
      <c r="K32" s="133"/>
    </row>
    <row r="33" spans="1:11" x14ac:dyDescent="0.5">
      <c r="A33" s="5" t="s">
        <v>78</v>
      </c>
      <c r="B33" s="7">
        <v>45344</v>
      </c>
      <c r="C33" s="5" t="s">
        <v>41</v>
      </c>
      <c r="D33" s="5" t="s">
        <v>79</v>
      </c>
      <c r="E33" s="5" t="s">
        <v>17</v>
      </c>
      <c r="F33" s="5" t="s">
        <v>80</v>
      </c>
      <c r="G33" s="8">
        <v>142500</v>
      </c>
      <c r="H33" s="9">
        <f t="shared" ref="H33:H43" si="1">G33*0.125</f>
        <v>17812.5</v>
      </c>
      <c r="I33" s="9"/>
      <c r="J33" s="119"/>
      <c r="K33" s="133"/>
    </row>
    <row r="34" spans="1:11" x14ac:dyDescent="0.5">
      <c r="A34" s="5" t="s">
        <v>78</v>
      </c>
      <c r="B34" s="7">
        <v>45344</v>
      </c>
      <c r="C34" s="5" t="s">
        <v>41</v>
      </c>
      <c r="D34" s="5" t="s">
        <v>81</v>
      </c>
      <c r="E34" s="5" t="s">
        <v>17</v>
      </c>
      <c r="F34" s="5" t="s">
        <v>80</v>
      </c>
      <c r="G34" s="8">
        <v>71250</v>
      </c>
      <c r="H34" s="9">
        <f t="shared" si="1"/>
        <v>8906.25</v>
      </c>
      <c r="I34" s="9"/>
      <c r="J34" s="119"/>
      <c r="K34" s="133"/>
    </row>
    <row r="35" spans="1:11" x14ac:dyDescent="0.5">
      <c r="A35" s="5" t="s">
        <v>78</v>
      </c>
      <c r="B35" s="7">
        <v>45344</v>
      </c>
      <c r="C35" s="5" t="s">
        <v>41</v>
      </c>
      <c r="D35" s="5" t="s">
        <v>82</v>
      </c>
      <c r="E35" s="5" t="s">
        <v>17</v>
      </c>
      <c r="F35" s="5" t="s">
        <v>39</v>
      </c>
      <c r="G35" s="8">
        <v>95562</v>
      </c>
      <c r="H35" s="9">
        <f t="shared" si="1"/>
        <v>11945.25</v>
      </c>
      <c r="I35" s="9"/>
      <c r="J35" s="119"/>
      <c r="K35" s="133"/>
    </row>
    <row r="36" spans="1:11" x14ac:dyDescent="0.5">
      <c r="A36" s="5" t="s">
        <v>78</v>
      </c>
      <c r="B36" s="7">
        <v>45344</v>
      </c>
      <c r="C36" s="5" t="s">
        <v>41</v>
      </c>
      <c r="D36" s="5" t="s">
        <v>38</v>
      </c>
      <c r="E36" s="5" t="s">
        <v>17</v>
      </c>
      <c r="F36" s="5" t="s">
        <v>39</v>
      </c>
      <c r="G36" s="8">
        <v>67500</v>
      </c>
      <c r="H36" s="9">
        <f t="shared" si="1"/>
        <v>8437.5</v>
      </c>
      <c r="I36" s="9"/>
      <c r="J36" s="119"/>
      <c r="K36" s="133"/>
    </row>
    <row r="37" spans="1:11" x14ac:dyDescent="0.5">
      <c r="A37" s="5" t="s">
        <v>78</v>
      </c>
      <c r="B37" s="7">
        <v>45344</v>
      </c>
      <c r="C37" s="5" t="s">
        <v>41</v>
      </c>
      <c r="D37" s="5" t="s">
        <v>83</v>
      </c>
      <c r="E37" s="5" t="s">
        <v>17</v>
      </c>
      <c r="F37" s="5" t="s">
        <v>39</v>
      </c>
      <c r="G37" s="8">
        <v>50250</v>
      </c>
      <c r="H37" s="9">
        <f t="shared" si="1"/>
        <v>6281.25</v>
      </c>
      <c r="I37" s="9"/>
      <c r="J37" s="119"/>
      <c r="K37" s="133"/>
    </row>
    <row r="38" spans="1:11" ht="27.35" x14ac:dyDescent="0.5">
      <c r="A38" s="5" t="s">
        <v>78</v>
      </c>
      <c r="B38" s="7">
        <v>45344</v>
      </c>
      <c r="C38" s="5" t="s">
        <v>41</v>
      </c>
      <c r="D38" s="5" t="s">
        <v>84</v>
      </c>
      <c r="E38" s="5" t="s">
        <v>17</v>
      </c>
      <c r="F38" s="5" t="s">
        <v>39</v>
      </c>
      <c r="G38" s="8">
        <v>40199.06</v>
      </c>
      <c r="H38" s="9">
        <f>G38*0.125</f>
        <v>5024.8824999999997</v>
      </c>
      <c r="I38" s="9"/>
      <c r="J38" s="119"/>
      <c r="K38" s="133"/>
    </row>
    <row r="39" spans="1:11" x14ac:dyDescent="0.5">
      <c r="A39" s="5" t="s">
        <v>78</v>
      </c>
      <c r="B39" s="7">
        <v>45344</v>
      </c>
      <c r="C39" s="5" t="s">
        <v>41</v>
      </c>
      <c r="D39" s="5" t="s">
        <v>42</v>
      </c>
      <c r="E39" s="5" t="s">
        <v>17</v>
      </c>
      <c r="F39" s="5" t="s">
        <v>39</v>
      </c>
      <c r="G39" s="8">
        <v>33772</v>
      </c>
      <c r="H39" s="9">
        <f t="shared" si="1"/>
        <v>4221.5</v>
      </c>
      <c r="I39" s="9"/>
      <c r="J39" s="119"/>
      <c r="K39" s="133"/>
    </row>
    <row r="40" spans="1:11" x14ac:dyDescent="0.5">
      <c r="A40" s="5" t="s">
        <v>78</v>
      </c>
      <c r="B40" s="7">
        <v>45344</v>
      </c>
      <c r="C40" s="5" t="s">
        <v>41</v>
      </c>
      <c r="D40" s="5" t="s">
        <v>85</v>
      </c>
      <c r="E40" s="5" t="s">
        <v>17</v>
      </c>
      <c r="F40" s="5" t="s">
        <v>86</v>
      </c>
      <c r="G40" s="8">
        <v>26250</v>
      </c>
      <c r="H40" s="9">
        <f t="shared" si="1"/>
        <v>3281.25</v>
      </c>
      <c r="I40" s="9"/>
      <c r="J40" s="119"/>
      <c r="K40" s="133"/>
    </row>
    <row r="41" spans="1:11" x14ac:dyDescent="0.5">
      <c r="A41" s="5" t="s">
        <v>78</v>
      </c>
      <c r="B41" s="7">
        <v>45344</v>
      </c>
      <c r="C41" s="5" t="s">
        <v>41</v>
      </c>
      <c r="D41" s="5" t="s">
        <v>87</v>
      </c>
      <c r="E41" s="5" t="s">
        <v>17</v>
      </c>
      <c r="F41" s="5" t="s">
        <v>86</v>
      </c>
      <c r="G41" s="8">
        <v>26250</v>
      </c>
      <c r="H41" s="9">
        <f t="shared" si="1"/>
        <v>3281.25</v>
      </c>
      <c r="I41" s="9"/>
      <c r="J41" s="119"/>
      <c r="K41" s="133"/>
    </row>
    <row r="42" spans="1:11" x14ac:dyDescent="0.5">
      <c r="A42" s="5" t="s">
        <v>78</v>
      </c>
      <c r="B42" s="7">
        <v>45344</v>
      </c>
      <c r="C42" s="5" t="s">
        <v>41</v>
      </c>
      <c r="D42" s="5" t="s">
        <v>24</v>
      </c>
      <c r="E42" s="5" t="s">
        <v>17</v>
      </c>
      <c r="F42" s="5" t="s">
        <v>86</v>
      </c>
      <c r="G42" s="8">
        <v>26250</v>
      </c>
      <c r="H42" s="9">
        <f t="shared" si="1"/>
        <v>3281.25</v>
      </c>
      <c r="I42" s="9"/>
      <c r="J42" s="119"/>
      <c r="K42" s="133"/>
    </row>
    <row r="43" spans="1:11" x14ac:dyDescent="0.5">
      <c r="A43" s="5" t="s">
        <v>78</v>
      </c>
      <c r="B43" s="7">
        <v>45344</v>
      </c>
      <c r="C43" s="5" t="s">
        <v>41</v>
      </c>
      <c r="D43" s="5" t="s">
        <v>88</v>
      </c>
      <c r="E43" s="5" t="s">
        <v>17</v>
      </c>
      <c r="F43" s="5" t="s">
        <v>86</v>
      </c>
      <c r="G43" s="8">
        <v>26250</v>
      </c>
      <c r="H43" s="9">
        <f t="shared" si="1"/>
        <v>3281.25</v>
      </c>
      <c r="I43" s="9"/>
      <c r="J43" s="119"/>
      <c r="K43" s="133"/>
    </row>
    <row r="44" spans="1:11" x14ac:dyDescent="0.5">
      <c r="A44" s="5" t="s">
        <v>89</v>
      </c>
      <c r="B44" s="7">
        <v>44979</v>
      </c>
      <c r="C44" s="5" t="s">
        <v>90</v>
      </c>
      <c r="D44" s="5" t="s">
        <v>48</v>
      </c>
      <c r="E44" s="5" t="s">
        <v>91</v>
      </c>
      <c r="F44" s="5" t="s">
        <v>92</v>
      </c>
      <c r="G44" s="8">
        <v>8922.57</v>
      </c>
      <c r="H44" s="9">
        <f>G44*10%</f>
        <v>892.25700000000006</v>
      </c>
      <c r="I44" s="9"/>
      <c r="J44" s="119"/>
      <c r="K44" s="133"/>
    </row>
    <row r="45" spans="1:11" x14ac:dyDescent="0.5">
      <c r="A45" s="5" t="s">
        <v>89</v>
      </c>
      <c r="B45" s="7">
        <v>44979</v>
      </c>
      <c r="C45" s="5" t="s">
        <v>93</v>
      </c>
      <c r="D45" s="5" t="s">
        <v>94</v>
      </c>
      <c r="E45" s="5" t="s">
        <v>91</v>
      </c>
      <c r="F45" s="5" t="s">
        <v>95</v>
      </c>
      <c r="G45" s="8">
        <v>7046</v>
      </c>
      <c r="H45" s="9">
        <f>G45*10%</f>
        <v>704.6</v>
      </c>
      <c r="I45" s="9"/>
      <c r="J45" s="119"/>
      <c r="K45" s="133"/>
    </row>
    <row r="46" spans="1:11" x14ac:dyDescent="0.5">
      <c r="A46" s="5" t="s">
        <v>89</v>
      </c>
      <c r="B46" s="7">
        <v>44979</v>
      </c>
      <c r="C46" s="5" t="s">
        <v>96</v>
      </c>
      <c r="D46" s="5" t="s">
        <v>97</v>
      </c>
      <c r="E46" s="5" t="s">
        <v>91</v>
      </c>
      <c r="F46" s="5" t="s">
        <v>98</v>
      </c>
      <c r="G46" s="8">
        <v>23677</v>
      </c>
      <c r="H46" s="9">
        <f>G46*10%</f>
        <v>2367.7000000000003</v>
      </c>
      <c r="I46" s="9"/>
      <c r="J46" s="119"/>
      <c r="K46" s="133"/>
    </row>
    <row r="47" spans="1:11" x14ac:dyDescent="0.5">
      <c r="A47" s="5" t="s">
        <v>89</v>
      </c>
      <c r="B47" s="7">
        <v>44979</v>
      </c>
      <c r="C47" s="5" t="s">
        <v>55</v>
      </c>
      <c r="D47" s="5" t="s">
        <v>94</v>
      </c>
      <c r="E47" s="5" t="s">
        <v>17</v>
      </c>
      <c r="F47" s="5" t="s">
        <v>18</v>
      </c>
      <c r="G47" s="8">
        <v>7734</v>
      </c>
      <c r="H47" s="9">
        <f>G47*10%</f>
        <v>773.40000000000009</v>
      </c>
      <c r="I47" s="9"/>
      <c r="J47" s="119"/>
      <c r="K47" s="133"/>
    </row>
    <row r="48" spans="1:11" x14ac:dyDescent="0.5">
      <c r="A48" s="5" t="s">
        <v>99</v>
      </c>
      <c r="B48" s="7">
        <v>46076</v>
      </c>
      <c r="C48" s="5" t="s">
        <v>37</v>
      </c>
      <c r="D48" s="5"/>
      <c r="E48" s="5" t="s">
        <v>17</v>
      </c>
      <c r="F48" s="5" t="s">
        <v>18</v>
      </c>
      <c r="G48" s="8">
        <v>7500</v>
      </c>
      <c r="H48" s="9">
        <f>G48*0.125</f>
        <v>937.5</v>
      </c>
      <c r="I48" s="9"/>
      <c r="J48" s="119"/>
      <c r="K48" s="133"/>
    </row>
    <row r="49" spans="1:11" x14ac:dyDescent="0.5">
      <c r="A49" s="5" t="s">
        <v>99</v>
      </c>
      <c r="B49" s="7">
        <v>46076</v>
      </c>
      <c r="C49" s="5" t="s">
        <v>44</v>
      </c>
      <c r="D49" s="5" t="s">
        <v>45</v>
      </c>
      <c r="E49" s="5" t="s">
        <v>17</v>
      </c>
      <c r="F49" s="5" t="s">
        <v>18</v>
      </c>
      <c r="G49" s="8">
        <v>700</v>
      </c>
      <c r="H49" s="9">
        <f t="shared" ref="H49:H52" si="2">G49*0.125</f>
        <v>87.5</v>
      </c>
      <c r="I49" s="9"/>
      <c r="J49" s="119"/>
      <c r="K49" s="133"/>
    </row>
    <row r="50" spans="1:11" x14ac:dyDescent="0.5">
      <c r="A50" s="5" t="s">
        <v>99</v>
      </c>
      <c r="B50" s="7">
        <v>46076</v>
      </c>
      <c r="C50" s="5" t="s">
        <v>100</v>
      </c>
      <c r="D50" s="5" t="s">
        <v>101</v>
      </c>
      <c r="E50" s="5" t="s">
        <v>17</v>
      </c>
      <c r="F50" s="5" t="s">
        <v>18</v>
      </c>
      <c r="G50" s="8">
        <v>1000</v>
      </c>
      <c r="H50" s="9">
        <f t="shared" si="2"/>
        <v>125</v>
      </c>
      <c r="I50" s="9"/>
      <c r="J50" s="119"/>
      <c r="K50" s="133"/>
    </row>
    <row r="51" spans="1:11" x14ac:dyDescent="0.5">
      <c r="A51" s="5" t="s">
        <v>99</v>
      </c>
      <c r="B51" s="7">
        <v>46076</v>
      </c>
      <c r="C51" s="5" t="s">
        <v>102</v>
      </c>
      <c r="D51" s="5" t="s">
        <v>103</v>
      </c>
      <c r="E51" s="5" t="s">
        <v>17</v>
      </c>
      <c r="F51" s="5" t="s">
        <v>18</v>
      </c>
      <c r="G51" s="8">
        <v>1000</v>
      </c>
      <c r="H51" s="9">
        <f t="shared" si="2"/>
        <v>125</v>
      </c>
      <c r="I51" s="9"/>
      <c r="J51" s="119"/>
      <c r="K51" s="133"/>
    </row>
    <row r="52" spans="1:11" x14ac:dyDescent="0.5">
      <c r="A52" s="5" t="s">
        <v>99</v>
      </c>
      <c r="B52" s="7">
        <v>46076</v>
      </c>
      <c r="C52" s="5" t="s">
        <v>104</v>
      </c>
      <c r="D52" s="5" t="s">
        <v>105</v>
      </c>
      <c r="E52" s="5" t="s">
        <v>17</v>
      </c>
      <c r="F52" s="5" t="s">
        <v>18</v>
      </c>
      <c r="G52" s="8">
        <v>8000</v>
      </c>
      <c r="H52" s="9">
        <f t="shared" si="2"/>
        <v>1000</v>
      </c>
      <c r="I52" s="9"/>
      <c r="J52" s="119"/>
      <c r="K52" s="133"/>
    </row>
    <row r="53" spans="1:11" x14ac:dyDescent="0.5">
      <c r="A53" s="12" t="s">
        <v>106</v>
      </c>
      <c r="B53" s="7">
        <v>45708</v>
      </c>
      <c r="C53" s="12" t="s">
        <v>15</v>
      </c>
      <c r="D53" s="12" t="s">
        <v>107</v>
      </c>
      <c r="E53" s="12" t="s">
        <v>17</v>
      </c>
      <c r="F53" s="17" t="s">
        <v>18</v>
      </c>
      <c r="G53" s="18">
        <v>3117</v>
      </c>
      <c r="H53" s="16"/>
      <c r="I53" s="16"/>
      <c r="J53" s="119"/>
      <c r="K53" s="133"/>
    </row>
    <row r="54" spans="1:11" x14ac:dyDescent="0.5">
      <c r="A54" s="5" t="s">
        <v>108</v>
      </c>
      <c r="B54" s="7">
        <v>45348</v>
      </c>
      <c r="C54" s="5" t="s">
        <v>23</v>
      </c>
      <c r="D54" s="5" t="s">
        <v>16</v>
      </c>
      <c r="E54" s="5" t="s">
        <v>17</v>
      </c>
      <c r="F54" s="5" t="s">
        <v>30</v>
      </c>
      <c r="G54" s="8">
        <v>17719</v>
      </c>
      <c r="H54" s="9"/>
      <c r="I54" s="9"/>
      <c r="J54" s="120"/>
      <c r="K54" s="134"/>
    </row>
    <row r="55" spans="1:11" x14ac:dyDescent="0.5">
      <c r="A55" s="30"/>
      <c r="B55" s="31"/>
      <c r="C55" s="30"/>
      <c r="D55" s="30"/>
      <c r="E55" s="30"/>
      <c r="F55" s="30"/>
      <c r="G55" s="32"/>
      <c r="H55" s="33"/>
      <c r="I55" s="33">
        <f>SUM(H23:H55)</f>
        <v>110452.91949999999</v>
      </c>
      <c r="J55" s="121">
        <v>4771.1400000000003</v>
      </c>
      <c r="K55" s="121"/>
    </row>
    <row r="56" spans="1:11" x14ac:dyDescent="0.5">
      <c r="A56" s="12" t="s">
        <v>109</v>
      </c>
      <c r="B56" s="7">
        <v>44986</v>
      </c>
      <c r="C56" s="12" t="s">
        <v>15</v>
      </c>
      <c r="D56" s="12" t="s">
        <v>16</v>
      </c>
      <c r="E56" s="12" t="s">
        <v>406</v>
      </c>
      <c r="F56" s="17" t="s">
        <v>34</v>
      </c>
      <c r="G56" s="18">
        <v>37057</v>
      </c>
      <c r="H56" s="16"/>
      <c r="I56" s="40"/>
      <c r="J56" s="34"/>
      <c r="K56" s="35"/>
    </row>
    <row r="57" spans="1:11" ht="27.35" x14ac:dyDescent="0.5">
      <c r="A57" s="12" t="s">
        <v>109</v>
      </c>
      <c r="B57" s="7">
        <v>44986</v>
      </c>
      <c r="C57" s="12" t="s">
        <v>110</v>
      </c>
      <c r="D57" s="12" t="s">
        <v>101</v>
      </c>
      <c r="E57" s="12" t="s">
        <v>17</v>
      </c>
      <c r="F57" s="17" t="s">
        <v>111</v>
      </c>
      <c r="G57" s="18">
        <v>7150</v>
      </c>
      <c r="H57" s="16">
        <f>G57*12.5%</f>
        <v>893.75</v>
      </c>
      <c r="I57" s="42"/>
      <c r="J57" s="36"/>
      <c r="K57" s="37"/>
    </row>
    <row r="58" spans="1:11" x14ac:dyDescent="0.5">
      <c r="A58" s="12" t="s">
        <v>109</v>
      </c>
      <c r="B58" s="7">
        <v>44986</v>
      </c>
      <c r="C58" s="12" t="s">
        <v>37</v>
      </c>
      <c r="D58" s="12" t="s">
        <v>112</v>
      </c>
      <c r="E58" s="12" t="s">
        <v>406</v>
      </c>
      <c r="F58" s="17" t="s">
        <v>18</v>
      </c>
      <c r="G58" s="18">
        <v>7570</v>
      </c>
      <c r="H58" s="16">
        <f>G58*10%</f>
        <v>757</v>
      </c>
      <c r="I58" s="42"/>
      <c r="J58" s="36"/>
      <c r="K58" s="37"/>
    </row>
    <row r="59" spans="1:11" x14ac:dyDescent="0.5">
      <c r="A59" s="12" t="s">
        <v>109</v>
      </c>
      <c r="B59" s="7">
        <v>44986</v>
      </c>
      <c r="C59" s="12" t="s">
        <v>44</v>
      </c>
      <c r="D59" s="12" t="s">
        <v>58</v>
      </c>
      <c r="E59" s="12" t="s">
        <v>406</v>
      </c>
      <c r="F59" s="17" t="s">
        <v>34</v>
      </c>
      <c r="G59" s="18">
        <v>3590</v>
      </c>
      <c r="H59" s="16">
        <v>448.75</v>
      </c>
      <c r="I59" s="42"/>
      <c r="J59" s="36"/>
      <c r="K59" s="37"/>
    </row>
    <row r="60" spans="1:11" x14ac:dyDescent="0.5">
      <c r="A60" s="12" t="s">
        <v>109</v>
      </c>
      <c r="B60" s="7">
        <v>46082</v>
      </c>
      <c r="C60" s="12" t="s">
        <v>113</v>
      </c>
      <c r="D60" s="12" t="s">
        <v>114</v>
      </c>
      <c r="E60" s="12" t="s">
        <v>13</v>
      </c>
      <c r="F60" s="17" t="s">
        <v>18</v>
      </c>
      <c r="G60" s="38">
        <v>1758</v>
      </c>
      <c r="H60" s="39">
        <f>G60*0.1</f>
        <v>175.8</v>
      </c>
      <c r="I60" s="43"/>
      <c r="J60" s="36"/>
      <c r="K60" s="37"/>
    </row>
    <row r="61" spans="1:11" x14ac:dyDescent="0.5">
      <c r="A61" s="12" t="s">
        <v>115</v>
      </c>
      <c r="B61" s="7">
        <v>45717</v>
      </c>
      <c r="C61" s="12" t="s">
        <v>15</v>
      </c>
      <c r="D61" s="12" t="s">
        <v>116</v>
      </c>
      <c r="E61" s="12" t="s">
        <v>17</v>
      </c>
      <c r="F61" s="17" t="s">
        <v>30</v>
      </c>
      <c r="G61" s="18">
        <v>10460</v>
      </c>
      <c r="H61" s="16">
        <f t="shared" ref="H61:H66" si="3">G61*0.125</f>
        <v>1307.5</v>
      </c>
      <c r="I61" s="40"/>
      <c r="J61" s="36"/>
      <c r="K61" s="37"/>
    </row>
    <row r="62" spans="1:11" x14ac:dyDescent="0.5">
      <c r="A62" s="41" t="s">
        <v>115</v>
      </c>
      <c r="B62" s="7">
        <v>46082</v>
      </c>
      <c r="C62" s="12" t="s">
        <v>110</v>
      </c>
      <c r="D62" s="12" t="s">
        <v>117</v>
      </c>
      <c r="E62" s="12" t="s">
        <v>17</v>
      </c>
      <c r="F62" s="17" t="s">
        <v>18</v>
      </c>
      <c r="G62" s="18">
        <v>6750</v>
      </c>
      <c r="H62" s="16">
        <f t="shared" si="3"/>
        <v>843.75</v>
      </c>
      <c r="I62" s="42"/>
      <c r="J62" s="36"/>
      <c r="K62" s="37"/>
    </row>
    <row r="63" spans="1:11" x14ac:dyDescent="0.5">
      <c r="A63" s="41" t="s">
        <v>115</v>
      </c>
      <c r="B63" s="7">
        <v>46082</v>
      </c>
      <c r="C63" s="12" t="s">
        <v>44</v>
      </c>
      <c r="D63" s="12" t="s">
        <v>118</v>
      </c>
      <c r="E63" s="12" t="s">
        <v>17</v>
      </c>
      <c r="F63" s="17" t="s">
        <v>119</v>
      </c>
      <c r="G63" s="18">
        <v>1216</v>
      </c>
      <c r="H63" s="16">
        <f t="shared" si="3"/>
        <v>152</v>
      </c>
      <c r="I63" s="42"/>
      <c r="J63" s="36"/>
      <c r="K63" s="37"/>
    </row>
    <row r="64" spans="1:11" x14ac:dyDescent="0.5">
      <c r="A64" s="41" t="s">
        <v>115</v>
      </c>
      <c r="B64" s="7">
        <v>46082</v>
      </c>
      <c r="C64" s="12" t="s">
        <v>120</v>
      </c>
      <c r="D64" s="12" t="s">
        <v>42</v>
      </c>
      <c r="E64" s="12" t="s">
        <v>17</v>
      </c>
      <c r="F64" s="17" t="s">
        <v>121</v>
      </c>
      <c r="G64" s="18">
        <v>1025</v>
      </c>
      <c r="H64" s="16">
        <f t="shared" si="3"/>
        <v>128.125</v>
      </c>
      <c r="I64" s="42"/>
      <c r="J64" s="36"/>
      <c r="K64" s="37"/>
    </row>
    <row r="65" spans="1:11" x14ac:dyDescent="0.5">
      <c r="A65" s="41" t="s">
        <v>115</v>
      </c>
      <c r="B65" s="7">
        <v>46082</v>
      </c>
      <c r="C65" s="12" t="s">
        <v>122</v>
      </c>
      <c r="D65" s="12" t="s">
        <v>101</v>
      </c>
      <c r="E65" s="12" t="s">
        <v>17</v>
      </c>
      <c r="F65" s="17" t="s">
        <v>123</v>
      </c>
      <c r="G65" s="18">
        <v>1000</v>
      </c>
      <c r="H65" s="16">
        <f t="shared" si="3"/>
        <v>125</v>
      </c>
      <c r="I65" s="42"/>
      <c r="J65" s="36"/>
      <c r="K65" s="37"/>
    </row>
    <row r="66" spans="1:11" x14ac:dyDescent="0.5">
      <c r="A66" s="41" t="s">
        <v>115</v>
      </c>
      <c r="B66" s="7">
        <v>46082</v>
      </c>
      <c r="C66" s="12" t="s">
        <v>124</v>
      </c>
      <c r="D66" s="12" t="s">
        <v>105</v>
      </c>
      <c r="E66" s="12" t="s">
        <v>17</v>
      </c>
      <c r="F66" s="17" t="s">
        <v>125</v>
      </c>
      <c r="G66" s="18">
        <v>8000</v>
      </c>
      <c r="H66" s="16">
        <f t="shared" si="3"/>
        <v>1000</v>
      </c>
      <c r="I66" s="42"/>
      <c r="J66" s="36"/>
      <c r="K66" s="37"/>
    </row>
    <row r="67" spans="1:11" x14ac:dyDescent="0.5">
      <c r="A67" s="41" t="s">
        <v>115</v>
      </c>
      <c r="B67" s="7">
        <v>46082</v>
      </c>
      <c r="C67" s="12" t="s">
        <v>113</v>
      </c>
      <c r="D67" s="12" t="s">
        <v>126</v>
      </c>
      <c r="E67" s="12" t="s">
        <v>13</v>
      </c>
      <c r="F67" s="17" t="s">
        <v>119</v>
      </c>
      <c r="G67" s="38">
        <v>1214</v>
      </c>
      <c r="H67" s="39">
        <f>G67*0.1</f>
        <v>121.4</v>
      </c>
      <c r="I67" s="43"/>
      <c r="J67" s="36"/>
      <c r="K67" s="37"/>
    </row>
    <row r="68" spans="1:11" x14ac:dyDescent="0.5">
      <c r="A68" s="5" t="s">
        <v>127</v>
      </c>
      <c r="B68" s="7">
        <v>45358</v>
      </c>
      <c r="C68" s="5" t="s">
        <v>23</v>
      </c>
      <c r="D68" s="5" t="s">
        <v>128</v>
      </c>
      <c r="E68" s="5" t="s">
        <v>17</v>
      </c>
      <c r="F68" s="5" t="s">
        <v>18</v>
      </c>
      <c r="G68" s="8">
        <v>1989</v>
      </c>
      <c r="H68" s="9">
        <f>G68*0.125</f>
        <v>248.625</v>
      </c>
      <c r="I68" s="9"/>
      <c r="J68" s="36"/>
      <c r="K68" s="37"/>
    </row>
    <row r="69" spans="1:11" x14ac:dyDescent="0.5">
      <c r="A69" s="5" t="s">
        <v>129</v>
      </c>
      <c r="B69" s="7">
        <v>45723</v>
      </c>
      <c r="C69" s="5" t="s">
        <v>130</v>
      </c>
      <c r="D69" s="5" t="s">
        <v>131</v>
      </c>
      <c r="E69" s="5" t="s">
        <v>17</v>
      </c>
      <c r="F69" s="5" t="s">
        <v>119</v>
      </c>
      <c r="G69" s="8">
        <v>3114</v>
      </c>
      <c r="H69" s="9">
        <f>G69*0.125</f>
        <v>389.25</v>
      </c>
      <c r="I69" s="9"/>
      <c r="J69" s="36"/>
      <c r="K69" s="37"/>
    </row>
    <row r="70" spans="1:11" x14ac:dyDescent="0.5">
      <c r="A70" s="5" t="s">
        <v>132</v>
      </c>
      <c r="B70" s="7">
        <v>46090</v>
      </c>
      <c r="C70" s="5" t="s">
        <v>15</v>
      </c>
      <c r="D70" s="5" t="s">
        <v>133</v>
      </c>
      <c r="E70" s="5" t="s">
        <v>17</v>
      </c>
      <c r="F70" s="5" t="s">
        <v>34</v>
      </c>
      <c r="G70" s="8">
        <v>5780</v>
      </c>
      <c r="H70" s="137">
        <v>722.5</v>
      </c>
      <c r="I70" s="9"/>
      <c r="J70" s="36"/>
      <c r="K70" s="37"/>
    </row>
    <row r="71" spans="1:11" x14ac:dyDescent="0.5">
      <c r="A71" s="5" t="s">
        <v>134</v>
      </c>
      <c r="B71" s="7">
        <v>45727</v>
      </c>
      <c r="C71" s="5" t="s">
        <v>135</v>
      </c>
      <c r="D71" s="5" t="s">
        <v>136</v>
      </c>
      <c r="E71" s="5" t="s">
        <v>17</v>
      </c>
      <c r="F71" s="5" t="s">
        <v>18</v>
      </c>
      <c r="G71" s="8">
        <v>16000</v>
      </c>
      <c r="H71" s="16">
        <f>G71*0.125</f>
        <v>2000</v>
      </c>
      <c r="I71" s="16"/>
      <c r="J71" s="36"/>
      <c r="K71" s="37"/>
    </row>
    <row r="72" spans="1:11" x14ac:dyDescent="0.5">
      <c r="A72" s="5" t="s">
        <v>134</v>
      </c>
      <c r="B72" s="7">
        <v>45727</v>
      </c>
      <c r="C72" s="5" t="s">
        <v>44</v>
      </c>
      <c r="D72" s="5" t="s">
        <v>45</v>
      </c>
      <c r="E72" s="5" t="s">
        <v>17</v>
      </c>
      <c r="F72" s="5" t="s">
        <v>18</v>
      </c>
      <c r="G72" s="8">
        <v>1091</v>
      </c>
      <c r="H72" s="16">
        <f t="shared" ref="H72:H73" si="4">G72*0.125</f>
        <v>136.375</v>
      </c>
      <c r="I72" s="16"/>
      <c r="J72" s="36"/>
      <c r="K72" s="37"/>
    </row>
    <row r="73" spans="1:11" x14ac:dyDescent="0.5">
      <c r="A73" s="5" t="s">
        <v>134</v>
      </c>
      <c r="B73" s="7">
        <v>45727</v>
      </c>
      <c r="C73" s="5" t="s">
        <v>137</v>
      </c>
      <c r="D73" s="5" t="s">
        <v>131</v>
      </c>
      <c r="E73" s="5" t="s">
        <v>17</v>
      </c>
      <c r="F73" s="5" t="s">
        <v>18</v>
      </c>
      <c r="G73" s="8">
        <v>3582</v>
      </c>
      <c r="H73" s="16">
        <f t="shared" si="4"/>
        <v>447.75</v>
      </c>
      <c r="I73" s="16"/>
      <c r="J73" s="36"/>
      <c r="K73" s="37"/>
    </row>
    <row r="74" spans="1:11" x14ac:dyDescent="0.5">
      <c r="A74" s="5" t="s">
        <v>138</v>
      </c>
      <c r="B74" s="7">
        <v>44999</v>
      </c>
      <c r="C74" s="5" t="s">
        <v>15</v>
      </c>
      <c r="D74" s="5" t="s">
        <v>16</v>
      </c>
      <c r="E74" s="5" t="s">
        <v>406</v>
      </c>
      <c r="F74" s="5" t="s">
        <v>18</v>
      </c>
      <c r="G74" s="8">
        <v>20992</v>
      </c>
      <c r="H74" s="9"/>
      <c r="I74" s="9"/>
      <c r="J74" s="36"/>
      <c r="K74" s="37"/>
    </row>
    <row r="75" spans="1:11" x14ac:dyDescent="0.5">
      <c r="A75" s="5" t="s">
        <v>139</v>
      </c>
      <c r="B75" s="7">
        <v>45002</v>
      </c>
      <c r="C75" s="5" t="s">
        <v>23</v>
      </c>
      <c r="D75" s="5" t="s">
        <v>140</v>
      </c>
      <c r="E75" s="5" t="s">
        <v>17</v>
      </c>
      <c r="F75" s="5" t="s">
        <v>34</v>
      </c>
      <c r="G75" s="8">
        <v>15000</v>
      </c>
      <c r="H75" s="9">
        <f>G75*12.5%</f>
        <v>1875</v>
      </c>
      <c r="I75" s="9"/>
      <c r="J75" s="36"/>
      <c r="K75" s="37"/>
    </row>
    <row r="76" spans="1:11" x14ac:dyDescent="0.5">
      <c r="A76" s="5" t="s">
        <v>141</v>
      </c>
      <c r="B76" s="7">
        <v>45736</v>
      </c>
      <c r="C76" s="5" t="s">
        <v>142</v>
      </c>
      <c r="D76" s="5" t="s">
        <v>81</v>
      </c>
      <c r="E76" s="5" t="s">
        <v>17</v>
      </c>
      <c r="F76" s="5" t="s">
        <v>80</v>
      </c>
      <c r="G76" s="8">
        <v>39220</v>
      </c>
      <c r="H76" s="9">
        <f t="shared" ref="H76:H81" si="5">G76*12.5%</f>
        <v>4902.5</v>
      </c>
      <c r="I76" s="58"/>
      <c r="J76" s="36"/>
      <c r="K76" s="37"/>
    </row>
    <row r="77" spans="1:11" x14ac:dyDescent="0.5">
      <c r="A77" s="5" t="s">
        <v>141</v>
      </c>
      <c r="B77" s="7">
        <v>45736</v>
      </c>
      <c r="C77" s="5" t="s">
        <v>143</v>
      </c>
      <c r="D77" s="5" t="s">
        <v>42</v>
      </c>
      <c r="E77" s="5" t="s">
        <v>17</v>
      </c>
      <c r="F77" s="5" t="s">
        <v>80</v>
      </c>
      <c r="G77" s="8">
        <v>21860</v>
      </c>
      <c r="H77" s="9">
        <f t="shared" si="5"/>
        <v>2732.5</v>
      </c>
      <c r="I77" s="59"/>
      <c r="J77" s="36"/>
      <c r="K77" s="37"/>
    </row>
    <row r="78" spans="1:11" x14ac:dyDescent="0.5">
      <c r="A78" s="5" t="s">
        <v>141</v>
      </c>
      <c r="B78" s="7">
        <v>46101</v>
      </c>
      <c r="C78" s="5" t="s">
        <v>44</v>
      </c>
      <c r="D78" s="5" t="s">
        <v>118</v>
      </c>
      <c r="E78" s="5" t="s">
        <v>17</v>
      </c>
      <c r="F78" s="5" t="s">
        <v>18</v>
      </c>
      <c r="G78" s="8">
        <v>2995</v>
      </c>
      <c r="H78" s="9">
        <f>G78*12.5%</f>
        <v>374.375</v>
      </c>
      <c r="I78" s="59"/>
      <c r="J78" s="36"/>
      <c r="K78" s="37"/>
    </row>
    <row r="79" spans="1:11" x14ac:dyDescent="0.5">
      <c r="A79" s="5" t="s">
        <v>141</v>
      </c>
      <c r="B79" s="7">
        <v>46101</v>
      </c>
      <c r="C79" s="5" t="s">
        <v>144</v>
      </c>
      <c r="D79" s="5" t="s">
        <v>145</v>
      </c>
      <c r="E79" s="5" t="s">
        <v>17</v>
      </c>
      <c r="F79" s="5" t="s">
        <v>18</v>
      </c>
      <c r="G79" s="8">
        <v>1960</v>
      </c>
      <c r="H79" s="9">
        <f t="shared" si="5"/>
        <v>245</v>
      </c>
      <c r="I79" s="59"/>
      <c r="J79" s="36"/>
      <c r="K79" s="37"/>
    </row>
    <row r="80" spans="1:11" x14ac:dyDescent="0.5">
      <c r="A80" s="5" t="s">
        <v>141</v>
      </c>
      <c r="B80" s="7">
        <v>46101</v>
      </c>
      <c r="C80" s="5" t="s">
        <v>144</v>
      </c>
      <c r="D80" s="5" t="s">
        <v>146</v>
      </c>
      <c r="E80" s="5" t="s">
        <v>17</v>
      </c>
      <c r="F80" s="5" t="s">
        <v>18</v>
      </c>
      <c r="G80" s="8">
        <v>2241</v>
      </c>
      <c r="H80" s="9">
        <f t="shared" si="5"/>
        <v>280.125</v>
      </c>
      <c r="I80" s="59"/>
      <c r="J80" s="36"/>
      <c r="K80" s="37"/>
    </row>
    <row r="81" spans="1:11" x14ac:dyDescent="0.5">
      <c r="A81" s="5" t="s">
        <v>141</v>
      </c>
      <c r="B81" s="7">
        <v>46101</v>
      </c>
      <c r="C81" s="5" t="s">
        <v>37</v>
      </c>
      <c r="D81" s="5" t="s">
        <v>131</v>
      </c>
      <c r="E81" s="5" t="s">
        <v>17</v>
      </c>
      <c r="F81" s="5" t="s">
        <v>18</v>
      </c>
      <c r="G81" s="8">
        <v>6209</v>
      </c>
      <c r="H81" s="9">
        <f t="shared" si="5"/>
        <v>776.125</v>
      </c>
      <c r="I81" s="60"/>
      <c r="J81" s="36"/>
      <c r="K81" s="37"/>
    </row>
    <row r="82" spans="1:11" x14ac:dyDescent="0.5">
      <c r="A82" s="5" t="s">
        <v>147</v>
      </c>
      <c r="B82" s="7">
        <v>45737</v>
      </c>
      <c r="C82" s="5" t="s">
        <v>148</v>
      </c>
      <c r="D82" s="34"/>
      <c r="E82" s="151"/>
      <c r="F82" s="151"/>
      <c r="G82" s="35"/>
      <c r="H82" s="9">
        <v>5000</v>
      </c>
      <c r="I82" s="9"/>
      <c r="J82" s="36"/>
      <c r="K82" s="37"/>
    </row>
    <row r="83" spans="1:11" x14ac:dyDescent="0.5">
      <c r="A83" s="5" t="s">
        <v>67</v>
      </c>
      <c r="B83" s="7">
        <v>45737</v>
      </c>
      <c r="C83" s="5" t="s">
        <v>148</v>
      </c>
      <c r="D83" s="48"/>
      <c r="E83" s="152"/>
      <c r="F83" s="152"/>
      <c r="G83" s="49"/>
      <c r="H83" s="9">
        <v>3000</v>
      </c>
      <c r="I83" s="9"/>
      <c r="J83" s="48"/>
      <c r="K83" s="49"/>
    </row>
    <row r="84" spans="1:11" x14ac:dyDescent="0.5">
      <c r="A84" s="30"/>
      <c r="B84" s="31"/>
      <c r="C84" s="30"/>
      <c r="D84" s="30"/>
      <c r="E84" s="30"/>
      <c r="F84" s="30"/>
      <c r="G84" s="32"/>
      <c r="H84" s="33"/>
      <c r="I84" s="33">
        <f>SUM(H56:H84)</f>
        <v>29083.200000000001</v>
      </c>
      <c r="J84" s="122">
        <v>2428.13</v>
      </c>
      <c r="K84" s="122">
        <v>4853.8500000000004</v>
      </c>
    </row>
    <row r="85" spans="1:11" x14ac:dyDescent="0.5">
      <c r="A85" s="5" t="s">
        <v>149</v>
      </c>
      <c r="B85" s="7">
        <v>46113</v>
      </c>
      <c r="C85" s="5" t="s">
        <v>23</v>
      </c>
      <c r="D85" s="5" t="s">
        <v>16</v>
      </c>
      <c r="E85" s="5" t="s">
        <v>17</v>
      </c>
      <c r="F85" s="5" t="s">
        <v>119</v>
      </c>
      <c r="G85" s="8">
        <v>3125</v>
      </c>
      <c r="H85" s="9"/>
      <c r="I85" s="9"/>
      <c r="J85" s="34"/>
      <c r="K85" s="35"/>
    </row>
    <row r="86" spans="1:11" x14ac:dyDescent="0.5">
      <c r="A86" s="50" t="s">
        <v>150</v>
      </c>
      <c r="B86" s="51">
        <v>45750</v>
      </c>
      <c r="C86" s="50" t="s">
        <v>23</v>
      </c>
      <c r="D86" s="50" t="s">
        <v>16</v>
      </c>
      <c r="E86" s="50" t="s">
        <v>17</v>
      </c>
      <c r="F86" s="50" t="s">
        <v>18</v>
      </c>
      <c r="G86" s="8">
        <v>2500</v>
      </c>
      <c r="H86" s="9"/>
      <c r="I86" s="52"/>
      <c r="J86" s="36"/>
      <c r="K86" s="37"/>
    </row>
    <row r="87" spans="1:11" x14ac:dyDescent="0.5">
      <c r="A87" s="50" t="s">
        <v>151</v>
      </c>
      <c r="B87" s="51">
        <v>45385</v>
      </c>
      <c r="C87" s="50" t="s">
        <v>23</v>
      </c>
      <c r="D87" s="50" t="s">
        <v>16</v>
      </c>
      <c r="E87" s="50" t="s">
        <v>17</v>
      </c>
      <c r="F87" s="50" t="s">
        <v>18</v>
      </c>
      <c r="G87" s="8">
        <v>3265</v>
      </c>
      <c r="H87" s="9"/>
      <c r="I87" s="52"/>
      <c r="J87" s="36"/>
      <c r="K87" s="37"/>
    </row>
    <row r="88" spans="1:11" x14ac:dyDescent="0.5">
      <c r="A88" s="50" t="s">
        <v>152</v>
      </c>
      <c r="B88" s="51">
        <v>46115</v>
      </c>
      <c r="C88" s="50" t="s">
        <v>153</v>
      </c>
      <c r="D88" s="50" t="s">
        <v>154</v>
      </c>
      <c r="E88" s="50" t="s">
        <v>17</v>
      </c>
      <c r="F88" s="50" t="s">
        <v>80</v>
      </c>
      <c r="G88" s="8">
        <v>13521</v>
      </c>
      <c r="H88" s="9">
        <f>G88*12.5%</f>
        <v>1690.125</v>
      </c>
      <c r="I88" s="53"/>
      <c r="J88" s="36"/>
      <c r="K88" s="37"/>
    </row>
    <row r="89" spans="1:11" x14ac:dyDescent="0.5">
      <c r="A89" s="50" t="s">
        <v>152</v>
      </c>
      <c r="B89" s="51">
        <v>46115</v>
      </c>
      <c r="C89" s="50" t="s">
        <v>44</v>
      </c>
      <c r="D89" s="50" t="s">
        <v>118</v>
      </c>
      <c r="E89" s="50" t="s">
        <v>17</v>
      </c>
      <c r="F89" s="50" t="s">
        <v>18</v>
      </c>
      <c r="G89" s="8">
        <v>700</v>
      </c>
      <c r="H89" s="9">
        <f t="shared" ref="H89:H96" si="6">G89*12.5%</f>
        <v>87.5</v>
      </c>
      <c r="I89" s="54"/>
      <c r="J89" s="36"/>
      <c r="K89" s="37"/>
    </row>
    <row r="90" spans="1:11" x14ac:dyDescent="0.5">
      <c r="A90" s="50" t="s">
        <v>152</v>
      </c>
      <c r="B90" s="51">
        <v>46115</v>
      </c>
      <c r="C90" s="50" t="s">
        <v>155</v>
      </c>
      <c r="D90" s="50" t="s">
        <v>48</v>
      </c>
      <c r="E90" s="50" t="s">
        <v>17</v>
      </c>
      <c r="F90" s="50" t="s">
        <v>18</v>
      </c>
      <c r="G90" s="8">
        <v>1000</v>
      </c>
      <c r="H90" s="9">
        <v>125</v>
      </c>
      <c r="I90" s="54"/>
      <c r="J90" s="36"/>
      <c r="K90" s="37"/>
    </row>
    <row r="91" spans="1:11" x14ac:dyDescent="0.5">
      <c r="A91" s="50" t="s">
        <v>152</v>
      </c>
      <c r="B91" s="51">
        <v>46115</v>
      </c>
      <c r="C91" s="50" t="s">
        <v>102</v>
      </c>
      <c r="D91" s="50" t="s">
        <v>42</v>
      </c>
      <c r="E91" s="50" t="s">
        <v>17</v>
      </c>
      <c r="F91" s="50" t="s">
        <v>18</v>
      </c>
      <c r="G91" s="8">
        <v>1000</v>
      </c>
      <c r="H91" s="9">
        <f t="shared" si="6"/>
        <v>125</v>
      </c>
      <c r="I91" s="55"/>
      <c r="J91" s="36"/>
      <c r="K91" s="37"/>
    </row>
    <row r="92" spans="1:11" x14ac:dyDescent="0.5">
      <c r="A92" s="5" t="s">
        <v>156</v>
      </c>
      <c r="B92" s="51">
        <v>45751</v>
      </c>
      <c r="C92" s="50" t="s">
        <v>37</v>
      </c>
      <c r="D92" s="50" t="s">
        <v>157</v>
      </c>
      <c r="E92" s="50" t="s">
        <v>17</v>
      </c>
      <c r="F92" s="50" t="s">
        <v>158</v>
      </c>
      <c r="G92" s="8">
        <v>6877</v>
      </c>
      <c r="H92" s="9">
        <f t="shared" si="6"/>
        <v>859.625</v>
      </c>
      <c r="I92" s="53"/>
      <c r="J92" s="36"/>
      <c r="K92" s="37"/>
    </row>
    <row r="93" spans="1:11" x14ac:dyDescent="0.5">
      <c r="A93" s="5" t="s">
        <v>156</v>
      </c>
      <c r="B93" s="7">
        <v>45386</v>
      </c>
      <c r="C93" s="5" t="s">
        <v>159</v>
      </c>
      <c r="D93" s="5" t="s">
        <v>81</v>
      </c>
      <c r="E93" s="5" t="s">
        <v>17</v>
      </c>
      <c r="F93" s="5" t="s">
        <v>80</v>
      </c>
      <c r="G93" s="8">
        <v>35625</v>
      </c>
      <c r="H93" s="9">
        <f t="shared" si="6"/>
        <v>4453.125</v>
      </c>
      <c r="I93" s="54"/>
      <c r="J93" s="36"/>
      <c r="K93" s="37"/>
    </row>
    <row r="94" spans="1:11" x14ac:dyDescent="0.5">
      <c r="A94" s="5" t="s">
        <v>156</v>
      </c>
      <c r="B94" s="7">
        <v>45386</v>
      </c>
      <c r="C94" s="5" t="s">
        <v>143</v>
      </c>
      <c r="D94" s="5" t="s">
        <v>160</v>
      </c>
      <c r="E94" s="5" t="s">
        <v>17</v>
      </c>
      <c r="F94" s="5" t="s">
        <v>80</v>
      </c>
      <c r="G94" s="8">
        <v>25638</v>
      </c>
      <c r="H94" s="9">
        <f t="shared" si="6"/>
        <v>3204.75</v>
      </c>
      <c r="I94" s="55"/>
      <c r="J94" s="36"/>
      <c r="K94" s="37"/>
    </row>
    <row r="95" spans="1:11" x14ac:dyDescent="0.5">
      <c r="A95" s="50" t="s">
        <v>161</v>
      </c>
      <c r="B95" s="51">
        <v>45398</v>
      </c>
      <c r="C95" s="50" t="s">
        <v>15</v>
      </c>
      <c r="D95" s="50" t="s">
        <v>162</v>
      </c>
      <c r="E95" s="50" t="s">
        <v>17</v>
      </c>
      <c r="F95" s="50" t="s">
        <v>39</v>
      </c>
      <c r="G95" s="8">
        <v>16949</v>
      </c>
      <c r="H95" s="9">
        <f t="shared" si="6"/>
        <v>2118.625</v>
      </c>
      <c r="I95" s="52" t="s">
        <v>163</v>
      </c>
      <c r="J95" s="36"/>
      <c r="K95" s="37"/>
    </row>
    <row r="96" spans="1:11" x14ac:dyDescent="0.5">
      <c r="A96" s="50" t="s">
        <v>67</v>
      </c>
      <c r="B96" s="51">
        <v>45764</v>
      </c>
      <c r="C96" s="50" t="s">
        <v>28</v>
      </c>
      <c r="D96" s="50" t="s">
        <v>164</v>
      </c>
      <c r="E96" s="50" t="s">
        <v>17</v>
      </c>
      <c r="F96" s="50" t="s">
        <v>18</v>
      </c>
      <c r="G96" s="8">
        <v>12000</v>
      </c>
      <c r="H96" s="9">
        <f t="shared" si="6"/>
        <v>1500</v>
      </c>
      <c r="I96" s="52"/>
      <c r="J96" s="36"/>
      <c r="K96" s="37"/>
    </row>
    <row r="97" spans="1:11" x14ac:dyDescent="0.5">
      <c r="A97" s="50" t="s">
        <v>165</v>
      </c>
      <c r="B97" s="51">
        <v>45768</v>
      </c>
      <c r="C97" s="50" t="s">
        <v>166</v>
      </c>
      <c r="D97" s="50" t="s">
        <v>167</v>
      </c>
      <c r="E97" s="50" t="s">
        <v>17</v>
      </c>
      <c r="F97" s="50" t="s">
        <v>30</v>
      </c>
      <c r="G97" s="8">
        <v>4711</v>
      </c>
      <c r="H97" s="9">
        <v>588.88</v>
      </c>
      <c r="I97" s="53"/>
      <c r="J97" s="36"/>
      <c r="K97" s="37"/>
    </row>
    <row r="98" spans="1:11" x14ac:dyDescent="0.5">
      <c r="A98" s="50" t="s">
        <v>165</v>
      </c>
      <c r="B98" s="51">
        <v>45768</v>
      </c>
      <c r="C98" s="50" t="s">
        <v>28</v>
      </c>
      <c r="D98" s="50" t="s">
        <v>168</v>
      </c>
      <c r="E98" s="50" t="s">
        <v>17</v>
      </c>
      <c r="F98" s="50" t="s">
        <v>80</v>
      </c>
      <c r="G98" s="8">
        <v>11615</v>
      </c>
      <c r="H98" s="9">
        <f t="shared" ref="H98:H100" si="7">G98*12.5%</f>
        <v>1451.875</v>
      </c>
      <c r="I98" s="54"/>
      <c r="J98" s="36"/>
      <c r="K98" s="37"/>
    </row>
    <row r="99" spans="1:11" x14ac:dyDescent="0.5">
      <c r="A99" s="50" t="s">
        <v>165</v>
      </c>
      <c r="B99" s="51">
        <v>45768</v>
      </c>
      <c r="C99" s="50" t="s">
        <v>44</v>
      </c>
      <c r="D99" s="50" t="s">
        <v>118</v>
      </c>
      <c r="E99" s="50" t="s">
        <v>17</v>
      </c>
      <c r="F99" s="50" t="s">
        <v>18</v>
      </c>
      <c r="G99" s="8">
        <v>4454</v>
      </c>
      <c r="H99" s="9">
        <f t="shared" si="7"/>
        <v>556.75</v>
      </c>
      <c r="I99" s="54"/>
      <c r="J99" s="36"/>
      <c r="K99" s="37"/>
    </row>
    <row r="100" spans="1:11" x14ac:dyDescent="0.5">
      <c r="A100" s="50" t="s">
        <v>165</v>
      </c>
      <c r="B100" s="51">
        <v>45768</v>
      </c>
      <c r="C100" s="50" t="s">
        <v>144</v>
      </c>
      <c r="D100" s="50" t="s">
        <v>42</v>
      </c>
      <c r="E100" s="50" t="s">
        <v>17</v>
      </c>
      <c r="F100" s="50" t="s">
        <v>18</v>
      </c>
      <c r="G100" s="8">
        <v>3158</v>
      </c>
      <c r="H100" s="9">
        <f t="shared" si="7"/>
        <v>394.75</v>
      </c>
      <c r="I100" s="54"/>
      <c r="J100" s="36"/>
      <c r="K100" s="37"/>
    </row>
    <row r="101" spans="1:11" x14ac:dyDescent="0.5">
      <c r="A101" s="50" t="s">
        <v>165</v>
      </c>
      <c r="B101" s="51">
        <v>45768</v>
      </c>
      <c r="C101" s="50" t="s">
        <v>144</v>
      </c>
      <c r="D101" s="50" t="s">
        <v>48</v>
      </c>
      <c r="E101" s="50" t="s">
        <v>17</v>
      </c>
      <c r="F101" s="50" t="s">
        <v>18</v>
      </c>
      <c r="G101" s="8">
        <v>2685</v>
      </c>
      <c r="H101" s="9">
        <v>335.63</v>
      </c>
      <c r="I101" s="55"/>
      <c r="J101" s="36"/>
      <c r="K101" s="37"/>
    </row>
    <row r="102" spans="1:11" x14ac:dyDescent="0.5">
      <c r="A102" s="50" t="s">
        <v>169</v>
      </c>
      <c r="B102" s="51">
        <v>45404</v>
      </c>
      <c r="C102" s="50" t="s">
        <v>15</v>
      </c>
      <c r="D102" s="50" t="s">
        <v>16</v>
      </c>
      <c r="E102" s="50" t="s">
        <v>17</v>
      </c>
      <c r="F102" s="50" t="s">
        <v>18</v>
      </c>
      <c r="G102" s="8">
        <v>3750</v>
      </c>
      <c r="H102" s="16"/>
      <c r="I102" s="56"/>
      <c r="J102" s="36"/>
      <c r="K102" s="37"/>
    </row>
    <row r="103" spans="1:11" x14ac:dyDescent="0.5">
      <c r="A103" s="50" t="s">
        <v>169</v>
      </c>
      <c r="B103" s="51">
        <v>45404</v>
      </c>
      <c r="C103" s="50" t="s">
        <v>170</v>
      </c>
      <c r="D103" s="50" t="s">
        <v>54</v>
      </c>
      <c r="E103" s="50" t="s">
        <v>17</v>
      </c>
      <c r="F103" s="50" t="s">
        <v>34</v>
      </c>
      <c r="G103" s="8">
        <v>5750</v>
      </c>
      <c r="H103" s="16">
        <f>G103*0.125</f>
        <v>718.75</v>
      </c>
      <c r="I103" s="56"/>
      <c r="J103" s="36"/>
      <c r="K103" s="37"/>
    </row>
    <row r="104" spans="1:11" x14ac:dyDescent="0.5">
      <c r="A104" s="50" t="s">
        <v>99</v>
      </c>
      <c r="B104" s="51">
        <v>46135</v>
      </c>
      <c r="C104" s="50" t="s">
        <v>44</v>
      </c>
      <c r="D104" s="50" t="s">
        <v>45</v>
      </c>
      <c r="E104" s="50" t="s">
        <v>17</v>
      </c>
      <c r="F104" s="50" t="s">
        <v>18</v>
      </c>
      <c r="G104" s="8">
        <v>700</v>
      </c>
      <c r="H104" s="16">
        <f>G104*12.5%</f>
        <v>87.5</v>
      </c>
      <c r="I104" s="56"/>
      <c r="J104" s="36"/>
      <c r="K104" s="37"/>
    </row>
    <row r="105" spans="1:11" x14ac:dyDescent="0.5">
      <c r="A105" s="50" t="s">
        <v>99</v>
      </c>
      <c r="B105" s="51">
        <v>46135</v>
      </c>
      <c r="C105" s="50" t="s">
        <v>144</v>
      </c>
      <c r="D105" s="50" t="s">
        <v>48</v>
      </c>
      <c r="E105" s="50" t="s">
        <v>17</v>
      </c>
      <c r="F105" s="50" t="s">
        <v>18</v>
      </c>
      <c r="G105" s="8">
        <v>1000</v>
      </c>
      <c r="H105" s="16">
        <f t="shared" ref="H105:H106" si="8">G105*12.5%</f>
        <v>125</v>
      </c>
      <c r="I105" s="56"/>
      <c r="J105" s="36"/>
      <c r="K105" s="37"/>
    </row>
    <row r="106" spans="1:11" x14ac:dyDescent="0.5">
      <c r="A106" s="50" t="s">
        <v>99</v>
      </c>
      <c r="B106" s="51">
        <v>46135</v>
      </c>
      <c r="C106" s="50" t="s">
        <v>144</v>
      </c>
      <c r="D106" s="50" t="s">
        <v>103</v>
      </c>
      <c r="E106" s="50" t="s">
        <v>17</v>
      </c>
      <c r="F106" s="50" t="s">
        <v>18</v>
      </c>
      <c r="G106" s="8">
        <v>1000</v>
      </c>
      <c r="H106" s="16">
        <f t="shared" si="8"/>
        <v>125</v>
      </c>
      <c r="I106" s="56"/>
      <c r="J106" s="48"/>
      <c r="K106" s="49"/>
    </row>
    <row r="107" spans="1:11" x14ac:dyDescent="0.5">
      <c r="A107" s="30"/>
      <c r="B107" s="31"/>
      <c r="C107" s="30"/>
      <c r="D107" s="30"/>
      <c r="E107" s="30"/>
      <c r="F107" s="57"/>
      <c r="G107" s="8"/>
      <c r="H107" s="9"/>
      <c r="I107" s="33">
        <f>SUM(H85:H107)</f>
        <v>18547.884999999998</v>
      </c>
      <c r="J107" s="121">
        <v>14478.06</v>
      </c>
      <c r="K107" s="121">
        <v>5392.65</v>
      </c>
    </row>
    <row r="108" spans="1:11" x14ac:dyDescent="0.5">
      <c r="A108" s="5" t="s">
        <v>171</v>
      </c>
      <c r="B108" s="7">
        <v>45415</v>
      </c>
      <c r="C108" s="5" t="s">
        <v>142</v>
      </c>
      <c r="D108" s="5" t="s">
        <v>42</v>
      </c>
      <c r="E108" s="5" t="s">
        <v>17</v>
      </c>
      <c r="F108" s="15" t="s">
        <v>39</v>
      </c>
      <c r="G108" s="8">
        <v>30000</v>
      </c>
      <c r="H108" s="9">
        <f>G108*12.5%</f>
        <v>3750</v>
      </c>
      <c r="I108" s="58"/>
      <c r="J108" s="34"/>
      <c r="K108" s="35"/>
    </row>
    <row r="109" spans="1:11" ht="27.35" x14ac:dyDescent="0.5">
      <c r="A109" s="5" t="s">
        <v>171</v>
      </c>
      <c r="B109" s="7">
        <v>45780</v>
      </c>
      <c r="C109" s="5" t="s">
        <v>172</v>
      </c>
      <c r="D109" s="5" t="s">
        <v>84</v>
      </c>
      <c r="E109" s="5" t="s">
        <v>17</v>
      </c>
      <c r="F109" s="15" t="s">
        <v>80</v>
      </c>
      <c r="G109" s="8">
        <v>18000</v>
      </c>
      <c r="H109" s="9">
        <f>G109*12.5%</f>
        <v>2250</v>
      </c>
      <c r="I109" s="59"/>
      <c r="J109" s="36"/>
      <c r="K109" s="37"/>
    </row>
    <row r="110" spans="1:11" x14ac:dyDescent="0.5">
      <c r="A110" s="5" t="s">
        <v>171</v>
      </c>
      <c r="B110" s="7">
        <v>45780</v>
      </c>
      <c r="C110" s="5" t="s">
        <v>37</v>
      </c>
      <c r="D110" s="5" t="s">
        <v>173</v>
      </c>
      <c r="E110" s="5" t="s">
        <v>406</v>
      </c>
      <c r="F110" s="15" t="s">
        <v>18</v>
      </c>
      <c r="G110" s="8">
        <v>5708</v>
      </c>
      <c r="H110" s="9">
        <v>713.5</v>
      </c>
      <c r="I110" s="60"/>
      <c r="J110" s="36"/>
      <c r="K110" s="37"/>
    </row>
    <row r="111" spans="1:11" x14ac:dyDescent="0.5">
      <c r="A111" s="5" t="s">
        <v>174</v>
      </c>
      <c r="B111" s="7">
        <v>46145</v>
      </c>
      <c r="C111" s="5" t="s">
        <v>41</v>
      </c>
      <c r="D111" s="5">
        <v>1889</v>
      </c>
      <c r="E111" s="5" t="s">
        <v>17</v>
      </c>
      <c r="F111" s="15" t="s">
        <v>30</v>
      </c>
      <c r="G111" s="8">
        <v>25684</v>
      </c>
      <c r="H111" s="9">
        <v>3210.5</v>
      </c>
      <c r="I111" s="58"/>
      <c r="J111" s="36"/>
      <c r="K111" s="37"/>
    </row>
    <row r="112" spans="1:11" x14ac:dyDescent="0.5">
      <c r="A112" s="5" t="s">
        <v>174</v>
      </c>
      <c r="B112" s="7">
        <v>46145</v>
      </c>
      <c r="C112" s="5" t="s">
        <v>175</v>
      </c>
      <c r="D112" s="5" t="s">
        <v>176</v>
      </c>
      <c r="E112" s="5" t="s">
        <v>17</v>
      </c>
      <c r="F112" s="15" t="s">
        <v>34</v>
      </c>
      <c r="G112" s="8">
        <v>14000</v>
      </c>
      <c r="H112" s="9">
        <f>G112*12.5%</f>
        <v>1750</v>
      </c>
      <c r="I112" s="60"/>
      <c r="J112" s="36"/>
      <c r="K112" s="37"/>
    </row>
    <row r="113" spans="1:11" x14ac:dyDescent="0.5">
      <c r="A113" s="5" t="s">
        <v>177</v>
      </c>
      <c r="B113" s="7">
        <v>45050</v>
      </c>
      <c r="C113" s="5" t="s">
        <v>15</v>
      </c>
      <c r="D113" s="5" t="s">
        <v>16</v>
      </c>
      <c r="E113" s="5" t="s">
        <v>17</v>
      </c>
      <c r="F113" s="5" t="s">
        <v>18</v>
      </c>
      <c r="G113" s="63">
        <v>7313</v>
      </c>
      <c r="H113" s="9"/>
      <c r="I113" s="9"/>
      <c r="J113" s="36"/>
      <c r="K113" s="37"/>
    </row>
    <row r="114" spans="1:11" x14ac:dyDescent="0.5">
      <c r="A114" s="5" t="s">
        <v>178</v>
      </c>
      <c r="B114" s="7">
        <v>45052</v>
      </c>
      <c r="C114" s="5" t="s">
        <v>23</v>
      </c>
      <c r="D114" s="5" t="s">
        <v>16</v>
      </c>
      <c r="E114" s="5" t="s">
        <v>17</v>
      </c>
      <c r="F114" s="5" t="s">
        <v>18</v>
      </c>
      <c r="G114" s="63">
        <v>17608</v>
      </c>
      <c r="H114" s="9"/>
      <c r="I114" s="9"/>
      <c r="J114" s="36"/>
      <c r="K114" s="37"/>
    </row>
    <row r="115" spans="1:11" x14ac:dyDescent="0.5">
      <c r="A115" s="5" t="s">
        <v>179</v>
      </c>
      <c r="B115" s="7">
        <v>45784</v>
      </c>
      <c r="C115" s="5" t="s">
        <v>180</v>
      </c>
      <c r="D115" s="5" t="s">
        <v>126</v>
      </c>
      <c r="E115" s="5" t="s">
        <v>181</v>
      </c>
      <c r="F115" s="5" t="s">
        <v>18</v>
      </c>
      <c r="G115" s="62">
        <v>10222</v>
      </c>
      <c r="H115" s="47">
        <f>G115*12.5%</f>
        <v>1277.75</v>
      </c>
      <c r="I115" s="9"/>
      <c r="J115" s="36"/>
      <c r="K115" s="37"/>
    </row>
    <row r="116" spans="1:11" x14ac:dyDescent="0.5">
      <c r="A116" s="5" t="s">
        <v>182</v>
      </c>
      <c r="B116" s="7">
        <v>45431</v>
      </c>
      <c r="C116" s="5" t="s">
        <v>37</v>
      </c>
      <c r="D116" s="5" t="s">
        <v>63</v>
      </c>
      <c r="E116" s="5" t="s">
        <v>406</v>
      </c>
      <c r="F116" s="5" t="s">
        <v>158</v>
      </c>
      <c r="G116" s="63">
        <v>4002</v>
      </c>
      <c r="H116" s="9">
        <v>500.25</v>
      </c>
      <c r="I116" s="9"/>
      <c r="J116" s="36"/>
      <c r="K116" s="37"/>
    </row>
    <row r="117" spans="1:11" x14ac:dyDescent="0.5">
      <c r="A117" s="5" t="s">
        <v>182</v>
      </c>
      <c r="B117" s="7">
        <v>45065</v>
      </c>
      <c r="C117" s="5" t="s">
        <v>23</v>
      </c>
      <c r="D117" s="5" t="s">
        <v>117</v>
      </c>
      <c r="E117" s="5" t="s">
        <v>17</v>
      </c>
      <c r="F117" s="5" t="s">
        <v>183</v>
      </c>
      <c r="G117" s="63">
        <v>39000</v>
      </c>
      <c r="H117" s="9">
        <v>4875</v>
      </c>
      <c r="I117" s="9"/>
      <c r="J117" s="36"/>
      <c r="K117" s="37"/>
    </row>
    <row r="118" spans="1:11" x14ac:dyDescent="0.5">
      <c r="A118" s="5" t="s">
        <v>182</v>
      </c>
      <c r="B118" s="7">
        <v>45065</v>
      </c>
      <c r="C118" s="5" t="s">
        <v>44</v>
      </c>
      <c r="D118" s="5" t="s">
        <v>45</v>
      </c>
      <c r="E118" s="5" t="s">
        <v>406</v>
      </c>
      <c r="F118" s="5" t="s">
        <v>18</v>
      </c>
      <c r="G118" s="63">
        <v>6402</v>
      </c>
      <c r="H118" s="9">
        <v>800.25</v>
      </c>
      <c r="I118" s="9"/>
      <c r="J118" s="36"/>
      <c r="K118" s="37"/>
    </row>
    <row r="119" spans="1:11" x14ac:dyDescent="0.5">
      <c r="A119" s="5" t="s">
        <v>182</v>
      </c>
      <c r="B119" s="7">
        <v>45065</v>
      </c>
      <c r="C119" s="5" t="s">
        <v>184</v>
      </c>
      <c r="D119" s="5" t="s">
        <v>117</v>
      </c>
      <c r="E119" s="5" t="s">
        <v>17</v>
      </c>
      <c r="F119" s="5" t="s">
        <v>34</v>
      </c>
      <c r="G119" s="63">
        <v>11400</v>
      </c>
      <c r="H119" s="9">
        <v>1425</v>
      </c>
      <c r="I119" s="9"/>
      <c r="J119" s="36"/>
      <c r="K119" s="37"/>
    </row>
    <row r="120" spans="1:11" ht="23" customHeight="1" x14ac:dyDescent="0.5">
      <c r="A120" s="5" t="s">
        <v>185</v>
      </c>
      <c r="B120" s="7">
        <v>45065</v>
      </c>
      <c r="C120" s="5" t="s">
        <v>186</v>
      </c>
      <c r="D120" s="5" t="s">
        <v>126</v>
      </c>
      <c r="E120" s="5" t="s">
        <v>13</v>
      </c>
      <c r="F120" s="5" t="s">
        <v>187</v>
      </c>
      <c r="G120" s="62">
        <v>2982</v>
      </c>
      <c r="H120" s="47">
        <f>G120*0.1</f>
        <v>298.2</v>
      </c>
      <c r="I120" s="9"/>
      <c r="J120" s="36"/>
      <c r="K120" s="37"/>
    </row>
    <row r="121" spans="1:11" x14ac:dyDescent="0.5">
      <c r="A121" s="5" t="s">
        <v>182</v>
      </c>
      <c r="B121" s="7">
        <v>45065</v>
      </c>
      <c r="C121" s="5" t="s">
        <v>180</v>
      </c>
      <c r="D121" s="5" t="s">
        <v>126</v>
      </c>
      <c r="E121" s="5" t="s">
        <v>13</v>
      </c>
      <c r="F121" s="5" t="s">
        <v>18</v>
      </c>
      <c r="G121" s="63">
        <v>357</v>
      </c>
      <c r="H121" s="9">
        <f>G121*0.1</f>
        <v>35.700000000000003</v>
      </c>
      <c r="I121" s="9"/>
      <c r="J121" s="36"/>
      <c r="K121" s="37"/>
    </row>
    <row r="122" spans="1:11" x14ac:dyDescent="0.5">
      <c r="A122" s="5" t="s">
        <v>188</v>
      </c>
      <c r="B122" s="7">
        <v>45798</v>
      </c>
      <c r="C122" s="5" t="s">
        <v>189</v>
      </c>
      <c r="D122" s="5" t="s">
        <v>190</v>
      </c>
      <c r="E122" s="5" t="s">
        <v>17</v>
      </c>
      <c r="F122" s="5" t="s">
        <v>18</v>
      </c>
      <c r="G122" s="63">
        <v>1662</v>
      </c>
      <c r="H122" s="9">
        <f t="shared" ref="H122:H126" si="9">G122*0.125</f>
        <v>207.75</v>
      </c>
      <c r="I122" s="58"/>
      <c r="J122" s="36"/>
      <c r="K122" s="37"/>
    </row>
    <row r="123" spans="1:11" x14ac:dyDescent="0.5">
      <c r="A123" s="5" t="s">
        <v>188</v>
      </c>
      <c r="B123" s="7">
        <v>45798</v>
      </c>
      <c r="C123" s="5" t="s">
        <v>28</v>
      </c>
      <c r="D123" s="5" t="s">
        <v>191</v>
      </c>
      <c r="E123" s="5" t="s">
        <v>17</v>
      </c>
      <c r="F123" s="5" t="s">
        <v>18</v>
      </c>
      <c r="G123" s="63">
        <v>1842</v>
      </c>
      <c r="H123" s="9">
        <f t="shared" si="9"/>
        <v>230.25</v>
      </c>
      <c r="I123" s="59"/>
      <c r="J123" s="36"/>
      <c r="K123" s="37"/>
    </row>
    <row r="124" spans="1:11" x14ac:dyDescent="0.5">
      <c r="A124" s="5" t="s">
        <v>188</v>
      </c>
      <c r="B124" s="7">
        <v>45798</v>
      </c>
      <c r="C124" s="5" t="s">
        <v>192</v>
      </c>
      <c r="D124" s="5" t="s">
        <v>118</v>
      </c>
      <c r="E124" s="5" t="s">
        <v>17</v>
      </c>
      <c r="F124" s="5" t="s">
        <v>18</v>
      </c>
      <c r="G124" s="63">
        <v>1346</v>
      </c>
      <c r="H124" s="9">
        <f t="shared" si="9"/>
        <v>168.25</v>
      </c>
      <c r="I124" s="59"/>
      <c r="J124" s="36"/>
      <c r="K124" s="37"/>
    </row>
    <row r="125" spans="1:11" x14ac:dyDescent="0.5">
      <c r="A125" s="5" t="s">
        <v>188</v>
      </c>
      <c r="B125" s="7">
        <v>45798</v>
      </c>
      <c r="C125" s="5" t="s">
        <v>193</v>
      </c>
      <c r="D125" s="5" t="s">
        <v>114</v>
      </c>
      <c r="E125" s="5" t="s">
        <v>181</v>
      </c>
      <c r="F125" s="5" t="s">
        <v>119</v>
      </c>
      <c r="G125" s="62">
        <v>445</v>
      </c>
      <c r="H125" s="47">
        <f t="shared" si="9"/>
        <v>55.625</v>
      </c>
      <c r="I125" s="60"/>
      <c r="J125" s="36"/>
      <c r="K125" s="37"/>
    </row>
    <row r="126" spans="1:11" x14ac:dyDescent="0.5">
      <c r="A126" s="5" t="s">
        <v>194</v>
      </c>
      <c r="B126" s="7">
        <v>46163</v>
      </c>
      <c r="C126" s="5" t="s">
        <v>44</v>
      </c>
      <c r="D126" s="5" t="s">
        <v>118</v>
      </c>
      <c r="E126" s="5" t="s">
        <v>17</v>
      </c>
      <c r="F126" s="5" t="s">
        <v>18</v>
      </c>
      <c r="G126" s="63">
        <v>700</v>
      </c>
      <c r="H126" s="9">
        <f t="shared" si="9"/>
        <v>87.5</v>
      </c>
      <c r="I126" s="64"/>
      <c r="J126" s="36"/>
      <c r="K126" s="37"/>
    </row>
    <row r="127" spans="1:11" x14ac:dyDescent="0.5">
      <c r="A127" s="5" t="s">
        <v>194</v>
      </c>
      <c r="B127" s="7">
        <v>46163</v>
      </c>
      <c r="C127" s="5" t="s">
        <v>15</v>
      </c>
      <c r="D127" s="5" t="s">
        <v>16</v>
      </c>
      <c r="E127" s="5" t="s">
        <v>17</v>
      </c>
      <c r="F127" s="5" t="s">
        <v>18</v>
      </c>
      <c r="G127" s="63">
        <v>2500</v>
      </c>
      <c r="H127" s="9"/>
      <c r="I127" s="64"/>
      <c r="J127" s="36"/>
      <c r="K127" s="37"/>
    </row>
    <row r="128" spans="1:11" x14ac:dyDescent="0.5">
      <c r="A128" s="5" t="s">
        <v>195</v>
      </c>
      <c r="B128" s="7">
        <v>46166</v>
      </c>
      <c r="C128" s="5" t="s">
        <v>44</v>
      </c>
      <c r="D128" s="5" t="s">
        <v>118</v>
      </c>
      <c r="E128" s="5" t="s">
        <v>17</v>
      </c>
      <c r="F128" s="5" t="s">
        <v>18</v>
      </c>
      <c r="G128" s="63">
        <v>7775</v>
      </c>
      <c r="H128" s="9">
        <v>971.88</v>
      </c>
      <c r="I128" s="58"/>
      <c r="J128" s="36"/>
      <c r="K128" s="37"/>
    </row>
    <row r="129" spans="1:11" x14ac:dyDescent="0.5">
      <c r="A129" s="5" t="s">
        <v>195</v>
      </c>
      <c r="B129" s="7">
        <v>46166</v>
      </c>
      <c r="C129" s="5" t="s">
        <v>196</v>
      </c>
      <c r="D129" s="5" t="s">
        <v>197</v>
      </c>
      <c r="E129" s="5" t="s">
        <v>17</v>
      </c>
      <c r="F129" s="5" t="s">
        <v>30</v>
      </c>
      <c r="G129" s="63">
        <v>9302</v>
      </c>
      <c r="H129" s="9">
        <v>1162.75</v>
      </c>
      <c r="I129" s="60"/>
      <c r="J129" s="48"/>
      <c r="K129" s="49"/>
    </row>
    <row r="130" spans="1:11" x14ac:dyDescent="0.5">
      <c r="A130" s="5" t="s">
        <v>198</v>
      </c>
      <c r="B130" s="7">
        <v>46168</v>
      </c>
      <c r="C130" s="5" t="s">
        <v>15</v>
      </c>
      <c r="D130" s="5" t="s">
        <v>16</v>
      </c>
      <c r="E130" s="5" t="s">
        <v>17</v>
      </c>
      <c r="F130" s="5" t="s">
        <v>18</v>
      </c>
      <c r="G130" s="63">
        <v>3125</v>
      </c>
      <c r="H130" s="9"/>
      <c r="I130" s="65"/>
      <c r="J130" s="123"/>
      <c r="K130" s="135"/>
    </row>
    <row r="131" spans="1:11" x14ac:dyDescent="0.5">
      <c r="A131" s="66"/>
      <c r="B131" s="25"/>
      <c r="C131" s="66"/>
      <c r="D131" s="66"/>
      <c r="E131" s="66"/>
      <c r="F131" s="66"/>
      <c r="G131" s="8"/>
      <c r="H131" s="9"/>
      <c r="I131" s="45">
        <f>SUM(H108:H131)</f>
        <v>23770.155000000002</v>
      </c>
      <c r="J131" s="124">
        <v>70602.789999999994</v>
      </c>
      <c r="K131" s="124">
        <v>924.3</v>
      </c>
    </row>
    <row r="132" spans="1:11" x14ac:dyDescent="0.5">
      <c r="A132" s="5" t="s">
        <v>199</v>
      </c>
      <c r="B132" s="7">
        <v>45078</v>
      </c>
      <c r="C132" s="5" t="s">
        <v>44</v>
      </c>
      <c r="D132" s="5" t="s">
        <v>200</v>
      </c>
      <c r="E132" s="5" t="s">
        <v>407</v>
      </c>
      <c r="F132" s="5" t="s">
        <v>18</v>
      </c>
      <c r="G132" s="8">
        <v>1562</v>
      </c>
      <c r="H132" s="9">
        <v>171.82</v>
      </c>
      <c r="I132" s="9"/>
      <c r="J132" s="34"/>
      <c r="K132" s="35"/>
    </row>
    <row r="133" spans="1:11" x14ac:dyDescent="0.5">
      <c r="A133" s="5" t="s">
        <v>201</v>
      </c>
      <c r="B133" s="7">
        <v>45444</v>
      </c>
      <c r="C133" s="5" t="s">
        <v>23</v>
      </c>
      <c r="D133" s="5" t="s">
        <v>16</v>
      </c>
      <c r="E133" s="5" t="s">
        <v>17</v>
      </c>
      <c r="F133" s="5" t="s">
        <v>18</v>
      </c>
      <c r="G133" s="8">
        <v>3454</v>
      </c>
      <c r="H133" s="9"/>
      <c r="I133" s="9"/>
      <c r="J133" s="36"/>
      <c r="K133" s="37"/>
    </row>
    <row r="134" spans="1:11" ht="27.35" x14ac:dyDescent="0.5">
      <c r="A134" s="5" t="s">
        <v>202</v>
      </c>
      <c r="B134" s="7" t="s">
        <v>203</v>
      </c>
      <c r="C134" s="5" t="s">
        <v>15</v>
      </c>
      <c r="D134" s="5" t="s">
        <v>16</v>
      </c>
      <c r="E134" s="5" t="s">
        <v>17</v>
      </c>
      <c r="F134" s="5" t="s">
        <v>39</v>
      </c>
      <c r="G134" s="8">
        <v>15308</v>
      </c>
      <c r="H134" s="9"/>
      <c r="I134" s="67"/>
      <c r="J134" s="36"/>
      <c r="K134" s="37"/>
    </row>
    <row r="135" spans="1:11" ht="27.35" x14ac:dyDescent="0.5">
      <c r="A135" s="5" t="s">
        <v>204</v>
      </c>
      <c r="B135" s="7" t="s">
        <v>205</v>
      </c>
      <c r="C135" s="5" t="s">
        <v>28</v>
      </c>
      <c r="D135" s="5" t="s">
        <v>206</v>
      </c>
      <c r="E135" s="5" t="s">
        <v>207</v>
      </c>
      <c r="F135" s="5" t="s">
        <v>18</v>
      </c>
      <c r="G135" s="8">
        <v>1403</v>
      </c>
      <c r="H135" s="9">
        <v>175.38</v>
      </c>
      <c r="I135" s="58"/>
      <c r="J135" s="36"/>
      <c r="K135" s="37"/>
    </row>
    <row r="136" spans="1:11" ht="27.35" x14ac:dyDescent="0.5">
      <c r="A136" s="5" t="s">
        <v>204</v>
      </c>
      <c r="B136" s="7" t="s">
        <v>205</v>
      </c>
      <c r="C136" s="5" t="s">
        <v>44</v>
      </c>
      <c r="D136" s="5" t="s">
        <v>118</v>
      </c>
      <c r="E136" s="5" t="s">
        <v>17</v>
      </c>
      <c r="F136" s="5" t="s">
        <v>18</v>
      </c>
      <c r="G136" s="8">
        <v>1114</v>
      </c>
      <c r="H136" s="9">
        <f>G136*12.5%</f>
        <v>139.25</v>
      </c>
      <c r="I136" s="60"/>
      <c r="J136" s="36"/>
      <c r="K136" s="37"/>
    </row>
    <row r="137" spans="1:11" x14ac:dyDescent="0.5">
      <c r="A137" s="5" t="s">
        <v>208</v>
      </c>
      <c r="B137" s="7">
        <v>45813</v>
      </c>
      <c r="C137" s="5" t="s">
        <v>15</v>
      </c>
      <c r="D137" s="5" t="s">
        <v>24</v>
      </c>
      <c r="E137" s="5" t="s">
        <v>17</v>
      </c>
      <c r="F137" s="5" t="s">
        <v>209</v>
      </c>
      <c r="G137" s="8">
        <v>3000</v>
      </c>
      <c r="H137" s="9">
        <f>G137*12.5%</f>
        <v>375</v>
      </c>
      <c r="I137" s="9"/>
      <c r="J137" s="36"/>
      <c r="K137" s="37"/>
    </row>
    <row r="138" spans="1:11" x14ac:dyDescent="0.5">
      <c r="A138" s="12" t="s">
        <v>210</v>
      </c>
      <c r="B138" s="7">
        <v>46184</v>
      </c>
      <c r="C138" s="12" t="s">
        <v>211</v>
      </c>
      <c r="D138" s="12" t="s">
        <v>212</v>
      </c>
      <c r="E138" s="12" t="s">
        <v>407</v>
      </c>
      <c r="F138" s="17" t="s">
        <v>183</v>
      </c>
      <c r="G138" s="18">
        <v>92282</v>
      </c>
      <c r="H138" s="16">
        <f>G138*12.5%</f>
        <v>11535.25</v>
      </c>
      <c r="I138" s="68"/>
      <c r="J138" s="36"/>
      <c r="K138" s="37"/>
    </row>
    <row r="139" spans="1:11" ht="27.35" x14ac:dyDescent="0.5">
      <c r="A139" s="12" t="s">
        <v>213</v>
      </c>
      <c r="B139" s="7" t="s">
        <v>214</v>
      </c>
      <c r="C139" s="12" t="s">
        <v>44</v>
      </c>
      <c r="D139" s="12" t="s">
        <v>215</v>
      </c>
      <c r="E139" s="12" t="s">
        <v>407</v>
      </c>
      <c r="F139" s="17" t="s">
        <v>119</v>
      </c>
      <c r="G139" s="18">
        <v>4095</v>
      </c>
      <c r="H139" s="16">
        <f>G139*0.125</f>
        <v>511.875</v>
      </c>
      <c r="I139" s="69"/>
      <c r="J139" s="36"/>
      <c r="K139" s="37"/>
    </row>
    <row r="140" spans="1:11" ht="27.35" x14ac:dyDescent="0.5">
      <c r="A140" s="12" t="s">
        <v>213</v>
      </c>
      <c r="B140" s="7" t="s">
        <v>216</v>
      </c>
      <c r="C140" s="12" t="s">
        <v>155</v>
      </c>
      <c r="D140" s="12" t="s">
        <v>217</v>
      </c>
      <c r="E140" s="12" t="s">
        <v>407</v>
      </c>
      <c r="F140" s="17" t="s">
        <v>119</v>
      </c>
      <c r="G140" s="18">
        <v>2770</v>
      </c>
      <c r="H140" s="16">
        <v>346.25</v>
      </c>
      <c r="I140" s="69"/>
      <c r="J140" s="36"/>
      <c r="K140" s="37"/>
    </row>
    <row r="141" spans="1:11" x14ac:dyDescent="0.5">
      <c r="A141" s="5" t="s">
        <v>210</v>
      </c>
      <c r="B141" s="7">
        <v>45819</v>
      </c>
      <c r="C141" s="5" t="s">
        <v>37</v>
      </c>
      <c r="D141" s="5" t="s">
        <v>63</v>
      </c>
      <c r="E141" s="5" t="s">
        <v>17</v>
      </c>
      <c r="F141" s="5" t="s">
        <v>18</v>
      </c>
      <c r="G141" s="9">
        <v>3296</v>
      </c>
      <c r="H141" s="9">
        <f>G141*12.5%</f>
        <v>412</v>
      </c>
      <c r="I141" s="70"/>
      <c r="J141" s="36"/>
      <c r="K141" s="37"/>
    </row>
    <row r="142" spans="1:11" x14ac:dyDescent="0.5">
      <c r="A142" s="5" t="s">
        <v>218</v>
      </c>
      <c r="B142" s="7">
        <v>45088</v>
      </c>
      <c r="C142" s="5" t="s">
        <v>23</v>
      </c>
      <c r="D142" s="5" t="s">
        <v>63</v>
      </c>
      <c r="E142" s="5" t="s">
        <v>407</v>
      </c>
      <c r="F142" s="5" t="s">
        <v>18</v>
      </c>
      <c r="G142" s="8">
        <v>9224</v>
      </c>
      <c r="H142" s="9">
        <v>1153</v>
      </c>
      <c r="I142" s="9"/>
      <c r="J142" s="36"/>
      <c r="K142" s="37"/>
    </row>
    <row r="143" spans="1:11" ht="27.35" x14ac:dyDescent="0.5">
      <c r="A143" s="5" t="s">
        <v>219</v>
      </c>
      <c r="B143" s="7">
        <v>45827</v>
      </c>
      <c r="C143" s="5" t="s">
        <v>15</v>
      </c>
      <c r="D143" s="5" t="s">
        <v>16</v>
      </c>
      <c r="E143" s="5" t="s">
        <v>17</v>
      </c>
      <c r="F143" s="5" t="s">
        <v>18</v>
      </c>
      <c r="G143" s="8">
        <v>4078</v>
      </c>
      <c r="H143" s="9"/>
      <c r="I143" s="9"/>
      <c r="J143" s="36"/>
      <c r="K143" s="37"/>
    </row>
    <row r="144" spans="1:11" ht="27.35" x14ac:dyDescent="0.5">
      <c r="A144" s="5" t="s">
        <v>220</v>
      </c>
      <c r="B144" s="7">
        <v>45100</v>
      </c>
      <c r="C144" s="5" t="s">
        <v>15</v>
      </c>
      <c r="D144" s="5" t="s">
        <v>16</v>
      </c>
      <c r="E144" s="5" t="s">
        <v>17</v>
      </c>
      <c r="F144" s="5" t="s">
        <v>34</v>
      </c>
      <c r="G144" s="8">
        <v>11057</v>
      </c>
      <c r="H144" s="9"/>
      <c r="I144" s="9"/>
      <c r="J144" s="36"/>
      <c r="K144" s="37"/>
    </row>
    <row r="145" spans="1:11" x14ac:dyDescent="0.5">
      <c r="A145" s="5" t="s">
        <v>221</v>
      </c>
      <c r="B145" s="7">
        <v>45835</v>
      </c>
      <c r="C145" s="5" t="s">
        <v>15</v>
      </c>
      <c r="D145" s="5" t="s">
        <v>16</v>
      </c>
      <c r="E145" s="5" t="s">
        <v>17</v>
      </c>
      <c r="F145" s="5" t="s">
        <v>18</v>
      </c>
      <c r="G145" s="8">
        <v>3125</v>
      </c>
      <c r="H145" s="9"/>
      <c r="I145" s="9"/>
      <c r="J145" s="36"/>
      <c r="K145" s="37"/>
    </row>
    <row r="146" spans="1:11" ht="27.35" x14ac:dyDescent="0.5">
      <c r="A146" s="5" t="s">
        <v>222</v>
      </c>
      <c r="B146" s="7">
        <v>45836</v>
      </c>
      <c r="C146" s="5" t="s">
        <v>223</v>
      </c>
      <c r="D146" s="5" t="s">
        <v>116</v>
      </c>
      <c r="E146" s="5" t="s">
        <v>17</v>
      </c>
      <c r="F146" s="5" t="s">
        <v>34</v>
      </c>
      <c r="G146" s="8">
        <v>14247</v>
      </c>
      <c r="H146" s="9">
        <v>1780.88</v>
      </c>
      <c r="I146" s="9"/>
      <c r="J146" s="36"/>
      <c r="K146" s="37"/>
    </row>
    <row r="147" spans="1:11" x14ac:dyDescent="0.5">
      <c r="A147" s="5" t="s">
        <v>222</v>
      </c>
      <c r="B147" s="7">
        <v>45836</v>
      </c>
      <c r="C147" s="5" t="s">
        <v>224</v>
      </c>
      <c r="D147" s="5" t="s">
        <v>168</v>
      </c>
      <c r="E147" s="5" t="s">
        <v>17</v>
      </c>
      <c r="F147" s="5" t="s">
        <v>30</v>
      </c>
      <c r="G147" s="8">
        <v>11125</v>
      </c>
      <c r="H147" s="9">
        <v>1390.63</v>
      </c>
      <c r="I147" s="9"/>
      <c r="J147" s="36"/>
      <c r="K147" s="37"/>
    </row>
    <row r="148" spans="1:11" x14ac:dyDescent="0.5">
      <c r="A148" s="5" t="s">
        <v>222</v>
      </c>
      <c r="B148" s="7">
        <v>45836</v>
      </c>
      <c r="C148" s="5" t="s">
        <v>224</v>
      </c>
      <c r="D148" s="5" t="s">
        <v>48</v>
      </c>
      <c r="E148" s="5" t="s">
        <v>17</v>
      </c>
      <c r="F148" s="5" t="s">
        <v>39</v>
      </c>
      <c r="G148" s="8">
        <v>12685</v>
      </c>
      <c r="H148" s="9">
        <f>G148*0.125</f>
        <v>1585.625</v>
      </c>
      <c r="I148" s="9"/>
      <c r="J148" s="36"/>
      <c r="K148" s="37"/>
    </row>
    <row r="149" spans="1:11" x14ac:dyDescent="0.5">
      <c r="A149" s="5" t="s">
        <v>225</v>
      </c>
      <c r="B149" s="7">
        <v>46201</v>
      </c>
      <c r="C149" s="5" t="s">
        <v>23</v>
      </c>
      <c r="D149" s="5" t="s">
        <v>16</v>
      </c>
      <c r="E149" s="5" t="s">
        <v>226</v>
      </c>
      <c r="F149" s="5" t="s">
        <v>39</v>
      </c>
      <c r="G149" s="138">
        <v>19456</v>
      </c>
      <c r="H149" s="9"/>
      <c r="I149" s="9"/>
      <c r="J149" s="36"/>
      <c r="K149" s="37"/>
    </row>
    <row r="150" spans="1:11" x14ac:dyDescent="0.5">
      <c r="A150" s="5" t="s">
        <v>225</v>
      </c>
      <c r="B150" s="7">
        <v>45471</v>
      </c>
      <c r="C150" s="5" t="s">
        <v>170</v>
      </c>
      <c r="D150" s="5" t="s">
        <v>227</v>
      </c>
      <c r="E150" s="5" t="s">
        <v>226</v>
      </c>
      <c r="F150" s="5" t="s">
        <v>39</v>
      </c>
      <c r="G150" s="139">
        <v>13169</v>
      </c>
      <c r="H150" s="73">
        <v>1646.13</v>
      </c>
      <c r="I150" s="73"/>
      <c r="J150" s="48"/>
      <c r="K150" s="49"/>
    </row>
    <row r="151" spans="1:11" x14ac:dyDescent="0.5">
      <c r="A151" s="66"/>
      <c r="B151" s="25"/>
      <c r="C151" s="66"/>
      <c r="D151" s="66"/>
      <c r="E151" s="66"/>
      <c r="F151" s="66"/>
      <c r="G151" s="139"/>
      <c r="H151" s="73"/>
      <c r="I151" s="72">
        <f>SUM(H132:H151)</f>
        <v>21223.090000000004</v>
      </c>
      <c r="J151" s="124">
        <v>8320.92</v>
      </c>
      <c r="K151" s="124"/>
    </row>
    <row r="152" spans="1:11" x14ac:dyDescent="0.5">
      <c r="A152" s="5" t="s">
        <v>228</v>
      </c>
      <c r="B152" s="7">
        <v>45839</v>
      </c>
      <c r="C152" s="5" t="s">
        <v>28</v>
      </c>
      <c r="D152" s="5" t="s">
        <v>24</v>
      </c>
      <c r="E152" s="5" t="s">
        <v>17</v>
      </c>
      <c r="F152" s="5" t="s">
        <v>34</v>
      </c>
      <c r="G152" s="139">
        <v>1503</v>
      </c>
      <c r="H152" s="9">
        <f>G152*12.5%</f>
        <v>187.875</v>
      </c>
      <c r="I152" s="9"/>
      <c r="J152" s="34"/>
      <c r="K152" s="35"/>
    </row>
    <row r="153" spans="1:11" x14ac:dyDescent="0.5">
      <c r="A153" s="5" t="s">
        <v>229</v>
      </c>
      <c r="B153" s="7">
        <v>46213</v>
      </c>
      <c r="C153" s="5" t="s">
        <v>28</v>
      </c>
      <c r="D153" s="5" t="s">
        <v>230</v>
      </c>
      <c r="E153" s="5" t="s">
        <v>21</v>
      </c>
      <c r="F153" s="5" t="s">
        <v>18</v>
      </c>
      <c r="G153" s="139">
        <v>1557</v>
      </c>
      <c r="H153" s="9">
        <v>194.63</v>
      </c>
      <c r="I153" s="58"/>
      <c r="J153" s="36"/>
      <c r="K153" s="37"/>
    </row>
    <row r="154" spans="1:11" x14ac:dyDescent="0.5">
      <c r="A154" s="5" t="s">
        <v>229</v>
      </c>
      <c r="B154" s="7">
        <v>46213</v>
      </c>
      <c r="C154" s="5" t="s">
        <v>44</v>
      </c>
      <c r="D154" s="5" t="s">
        <v>118</v>
      </c>
      <c r="E154" s="5" t="s">
        <v>21</v>
      </c>
      <c r="F154" s="5" t="s">
        <v>119</v>
      </c>
      <c r="G154" s="139">
        <v>700</v>
      </c>
      <c r="H154" s="9">
        <v>87.5</v>
      </c>
      <c r="I154" s="60"/>
      <c r="J154" s="36"/>
      <c r="K154" s="37"/>
    </row>
    <row r="155" spans="1:11" x14ac:dyDescent="0.5">
      <c r="A155" s="5" t="s">
        <v>231</v>
      </c>
      <c r="B155" s="7">
        <v>45848</v>
      </c>
      <c r="C155" s="5" t="s">
        <v>47</v>
      </c>
      <c r="D155" s="5" t="s">
        <v>126</v>
      </c>
      <c r="E155" s="5" t="s">
        <v>21</v>
      </c>
      <c r="F155" s="5" t="s">
        <v>34</v>
      </c>
      <c r="G155" s="89">
        <v>4659</v>
      </c>
      <c r="H155" s="9">
        <v>582.38</v>
      </c>
      <c r="I155" s="9"/>
      <c r="J155" s="36"/>
      <c r="K155" s="37"/>
    </row>
    <row r="156" spans="1:11" x14ac:dyDescent="0.5">
      <c r="A156" s="5" t="s">
        <v>232</v>
      </c>
      <c r="B156" s="7">
        <v>45119</v>
      </c>
      <c r="C156" s="5" t="s">
        <v>44</v>
      </c>
      <c r="D156" s="5" t="s">
        <v>45</v>
      </c>
      <c r="E156" s="5" t="s">
        <v>17</v>
      </c>
      <c r="F156" s="5" t="s">
        <v>18</v>
      </c>
      <c r="G156" s="138">
        <v>900</v>
      </c>
      <c r="H156" s="9">
        <v>112.5</v>
      </c>
      <c r="I156" s="58"/>
      <c r="J156" s="36"/>
      <c r="K156" s="37"/>
    </row>
    <row r="157" spans="1:11" x14ac:dyDescent="0.5">
      <c r="A157" s="5" t="s">
        <v>232</v>
      </c>
      <c r="B157" s="7">
        <v>45119</v>
      </c>
      <c r="C157" s="5" t="s">
        <v>23</v>
      </c>
      <c r="D157" s="5" t="s">
        <v>16</v>
      </c>
      <c r="E157" s="5" t="s">
        <v>207</v>
      </c>
      <c r="F157" s="5" t="s">
        <v>39</v>
      </c>
      <c r="G157" s="8">
        <v>59459</v>
      </c>
      <c r="H157" s="9"/>
      <c r="I157" s="59"/>
      <c r="J157" s="36"/>
      <c r="K157" s="37"/>
    </row>
    <row r="158" spans="1:11" x14ac:dyDescent="0.5">
      <c r="A158" s="5" t="s">
        <v>232</v>
      </c>
      <c r="B158" s="7">
        <v>45119</v>
      </c>
      <c r="C158" s="5" t="s">
        <v>170</v>
      </c>
      <c r="D158" s="5" t="s">
        <v>233</v>
      </c>
      <c r="E158" s="5" t="s">
        <v>207</v>
      </c>
      <c r="F158" s="5" t="s">
        <v>39</v>
      </c>
      <c r="G158" s="8">
        <v>35675</v>
      </c>
      <c r="H158" s="9">
        <f>G158*12%</f>
        <v>4281</v>
      </c>
      <c r="I158" s="60"/>
      <c r="J158" s="36"/>
      <c r="K158" s="37"/>
    </row>
    <row r="159" spans="1:11" x14ac:dyDescent="0.5">
      <c r="A159" s="5" t="s">
        <v>234</v>
      </c>
      <c r="B159" s="7">
        <v>45488</v>
      </c>
      <c r="C159" s="5" t="s">
        <v>28</v>
      </c>
      <c r="D159" s="5" t="s">
        <v>58</v>
      </c>
      <c r="E159" s="5" t="s">
        <v>17</v>
      </c>
      <c r="F159" s="5" t="s">
        <v>18</v>
      </c>
      <c r="G159" s="8">
        <v>1750</v>
      </c>
      <c r="H159" s="9">
        <v>218.75</v>
      </c>
      <c r="I159" s="9"/>
      <c r="J159" s="36"/>
      <c r="K159" s="37"/>
    </row>
    <row r="160" spans="1:11" x14ac:dyDescent="0.5">
      <c r="A160" s="5" t="s">
        <v>235</v>
      </c>
      <c r="B160" s="7">
        <v>45859</v>
      </c>
      <c r="C160" s="5" t="s">
        <v>236</v>
      </c>
      <c r="D160" s="5" t="s">
        <v>237</v>
      </c>
      <c r="E160" s="5" t="s">
        <v>21</v>
      </c>
      <c r="F160" s="5" t="s">
        <v>80</v>
      </c>
      <c r="G160" s="8">
        <v>25000</v>
      </c>
      <c r="H160" s="9">
        <f>G160*12.5%</f>
        <v>3125</v>
      </c>
      <c r="I160" s="9"/>
      <c r="J160" s="36"/>
      <c r="K160" s="37"/>
    </row>
    <row r="161" spans="1:11" x14ac:dyDescent="0.5">
      <c r="A161" s="5" t="s">
        <v>238</v>
      </c>
      <c r="B161" s="7">
        <v>46226</v>
      </c>
      <c r="C161" s="5" t="s">
        <v>239</v>
      </c>
      <c r="D161" s="5" t="s">
        <v>240</v>
      </c>
      <c r="E161" s="5" t="s">
        <v>21</v>
      </c>
      <c r="F161" s="5" t="s">
        <v>80</v>
      </c>
      <c r="G161" s="8">
        <v>28000</v>
      </c>
      <c r="H161" s="9">
        <v>3500</v>
      </c>
      <c r="I161" s="9"/>
      <c r="J161" s="36"/>
      <c r="K161" s="37"/>
    </row>
    <row r="162" spans="1:11" ht="27.35" x14ac:dyDescent="0.5">
      <c r="A162" s="5" t="s">
        <v>241</v>
      </c>
      <c r="B162" s="7">
        <v>45497</v>
      </c>
      <c r="C162" s="5" t="s">
        <v>23</v>
      </c>
      <c r="D162" s="5" t="s">
        <v>24</v>
      </c>
      <c r="E162" s="5" t="s">
        <v>17</v>
      </c>
      <c r="F162" s="5" t="s">
        <v>242</v>
      </c>
      <c r="G162" s="8">
        <v>2248</v>
      </c>
      <c r="H162" s="9">
        <f>G162*12.5%</f>
        <v>281</v>
      </c>
      <c r="I162" s="9"/>
      <c r="J162" s="36"/>
      <c r="K162" s="37"/>
    </row>
    <row r="163" spans="1:11" x14ac:dyDescent="0.5">
      <c r="A163" s="5" t="s">
        <v>243</v>
      </c>
      <c r="B163" s="7">
        <v>46227</v>
      </c>
      <c r="C163" s="5" t="s">
        <v>244</v>
      </c>
      <c r="D163" s="5" t="s">
        <v>24</v>
      </c>
      <c r="E163" s="5" t="s">
        <v>17</v>
      </c>
      <c r="F163" s="5" t="s">
        <v>98</v>
      </c>
      <c r="G163" s="63">
        <v>24237</v>
      </c>
      <c r="H163" s="9">
        <f>G163*12.5%</f>
        <v>3029.625</v>
      </c>
      <c r="I163" s="9"/>
      <c r="J163" s="36"/>
      <c r="K163" s="37"/>
    </row>
    <row r="164" spans="1:11" x14ac:dyDescent="0.5">
      <c r="A164" s="5" t="s">
        <v>245</v>
      </c>
      <c r="B164" s="7">
        <v>46227</v>
      </c>
      <c r="C164" s="5" t="s">
        <v>44</v>
      </c>
      <c r="D164" s="5" t="s">
        <v>45</v>
      </c>
      <c r="E164" s="5" t="s">
        <v>17</v>
      </c>
      <c r="F164" s="5" t="s">
        <v>18</v>
      </c>
      <c r="G164" s="63">
        <v>5304</v>
      </c>
      <c r="H164" s="9">
        <f>G164*12.5%</f>
        <v>663</v>
      </c>
      <c r="I164" s="9"/>
      <c r="J164" s="36"/>
      <c r="K164" s="37"/>
    </row>
    <row r="165" spans="1:11" x14ac:dyDescent="0.5">
      <c r="A165" s="5" t="s">
        <v>246</v>
      </c>
      <c r="B165" s="7">
        <v>44768</v>
      </c>
      <c r="C165" s="5" t="s">
        <v>23</v>
      </c>
      <c r="D165" s="5" t="s">
        <v>16</v>
      </c>
      <c r="E165" s="5" t="s">
        <v>21</v>
      </c>
      <c r="F165" s="5" t="s">
        <v>18</v>
      </c>
      <c r="G165" s="8">
        <v>6825</v>
      </c>
      <c r="H165" s="9"/>
      <c r="I165" s="58"/>
      <c r="J165" s="36"/>
      <c r="K165" s="37"/>
    </row>
    <row r="166" spans="1:11" x14ac:dyDescent="0.5">
      <c r="A166" s="5" t="s">
        <v>246</v>
      </c>
      <c r="B166" s="7">
        <v>44768</v>
      </c>
      <c r="C166" s="5" t="s">
        <v>44</v>
      </c>
      <c r="D166" s="5" t="s">
        <v>45</v>
      </c>
      <c r="E166" s="5" t="s">
        <v>21</v>
      </c>
      <c r="F166" s="5" t="s">
        <v>18</v>
      </c>
      <c r="G166" s="8">
        <v>700</v>
      </c>
      <c r="H166" s="9">
        <f>G166*12.5%</f>
        <v>87.5</v>
      </c>
      <c r="I166" s="60"/>
      <c r="J166" s="48"/>
      <c r="K166" s="49"/>
    </row>
    <row r="167" spans="1:11" x14ac:dyDescent="0.5">
      <c r="A167" s="66"/>
      <c r="B167" s="25"/>
      <c r="C167" s="66"/>
      <c r="D167" s="66"/>
      <c r="E167" s="66"/>
      <c r="F167" s="66"/>
      <c r="G167" s="44"/>
      <c r="H167" s="45"/>
      <c r="I167" s="45">
        <f>SUM(H152:H167)</f>
        <v>16350.76</v>
      </c>
      <c r="J167" s="124">
        <v>7307.14</v>
      </c>
      <c r="K167" s="124"/>
    </row>
    <row r="168" spans="1:11" x14ac:dyDescent="0.5">
      <c r="A168" s="5" t="s">
        <v>247</v>
      </c>
      <c r="B168" s="7">
        <v>46235</v>
      </c>
      <c r="C168" s="5" t="s">
        <v>23</v>
      </c>
      <c r="D168" s="5" t="s">
        <v>248</v>
      </c>
      <c r="E168" s="5" t="s">
        <v>21</v>
      </c>
      <c r="F168" s="5" t="s">
        <v>249</v>
      </c>
      <c r="G168" s="8">
        <v>9998</v>
      </c>
      <c r="H168" s="9">
        <v>1249.75</v>
      </c>
      <c r="I168" s="9"/>
      <c r="J168" s="125"/>
      <c r="K168" s="136"/>
    </row>
    <row r="169" spans="1:11" ht="27.35" x14ac:dyDescent="0.5">
      <c r="A169" s="5" t="s">
        <v>250</v>
      </c>
      <c r="B169" s="7">
        <v>45876</v>
      </c>
      <c r="C169" s="5" t="s">
        <v>28</v>
      </c>
      <c r="D169" s="5" t="s">
        <v>251</v>
      </c>
      <c r="E169" s="5" t="s">
        <v>21</v>
      </c>
      <c r="F169" s="5" t="s">
        <v>252</v>
      </c>
      <c r="G169" s="8">
        <v>21250</v>
      </c>
      <c r="H169" s="9"/>
      <c r="I169" s="9"/>
      <c r="J169" s="34"/>
      <c r="K169" s="35"/>
    </row>
    <row r="170" spans="1:11" x14ac:dyDescent="0.5">
      <c r="A170" s="5" t="s">
        <v>253</v>
      </c>
      <c r="B170" s="7">
        <v>45880</v>
      </c>
      <c r="C170" s="5" t="s">
        <v>254</v>
      </c>
      <c r="D170" s="5" t="s">
        <v>118</v>
      </c>
      <c r="E170" s="5" t="s">
        <v>21</v>
      </c>
      <c r="F170" s="5" t="s">
        <v>158</v>
      </c>
      <c r="G170" s="8">
        <v>1160</v>
      </c>
      <c r="H170" s="9">
        <f t="shared" ref="H170:H173" si="10">G170*12.5%</f>
        <v>145</v>
      </c>
      <c r="I170" s="58"/>
      <c r="J170" s="36"/>
      <c r="K170" s="37"/>
    </row>
    <row r="171" spans="1:11" x14ac:dyDescent="0.5">
      <c r="A171" s="5" t="s">
        <v>253</v>
      </c>
      <c r="B171" s="7">
        <v>45880</v>
      </c>
      <c r="C171" s="5" t="s">
        <v>255</v>
      </c>
      <c r="D171" s="5" t="s">
        <v>256</v>
      </c>
      <c r="E171" s="5" t="s">
        <v>21</v>
      </c>
      <c r="F171" s="5" t="s">
        <v>158</v>
      </c>
      <c r="G171" s="8">
        <v>1028</v>
      </c>
      <c r="H171" s="9">
        <f t="shared" si="10"/>
        <v>128.5</v>
      </c>
      <c r="I171" s="59"/>
      <c r="J171" s="36"/>
      <c r="K171" s="37"/>
    </row>
    <row r="172" spans="1:11" x14ac:dyDescent="0.5">
      <c r="A172" s="5" t="s">
        <v>253</v>
      </c>
      <c r="B172" s="7">
        <v>45880</v>
      </c>
      <c r="C172" s="5" t="s">
        <v>257</v>
      </c>
      <c r="D172" s="5" t="s">
        <v>48</v>
      </c>
      <c r="E172" s="5" t="s">
        <v>21</v>
      </c>
      <c r="F172" s="5" t="s">
        <v>158</v>
      </c>
      <c r="G172" s="8">
        <v>2055</v>
      </c>
      <c r="H172" s="9">
        <f t="shared" si="10"/>
        <v>256.875</v>
      </c>
      <c r="I172" s="59"/>
      <c r="J172" s="36"/>
      <c r="K172" s="37"/>
    </row>
    <row r="173" spans="1:11" x14ac:dyDescent="0.5">
      <c r="A173" s="5" t="s">
        <v>253</v>
      </c>
      <c r="B173" s="7">
        <v>45880</v>
      </c>
      <c r="C173" s="5" t="s">
        <v>15</v>
      </c>
      <c r="D173" s="5" t="s">
        <v>258</v>
      </c>
      <c r="E173" s="5" t="s">
        <v>21</v>
      </c>
      <c r="F173" s="5" t="s">
        <v>259</v>
      </c>
      <c r="G173" s="8">
        <v>16600</v>
      </c>
      <c r="H173" s="9">
        <f t="shared" si="10"/>
        <v>2075</v>
      </c>
      <c r="I173" s="59"/>
      <c r="J173" s="36"/>
      <c r="K173" s="37"/>
    </row>
    <row r="174" spans="1:11" x14ac:dyDescent="0.5">
      <c r="A174" s="5" t="s">
        <v>253</v>
      </c>
      <c r="B174" s="7">
        <v>45877</v>
      </c>
      <c r="C174" s="5" t="s">
        <v>37</v>
      </c>
      <c r="D174" s="5" t="s">
        <v>260</v>
      </c>
      <c r="E174" s="5" t="s">
        <v>21</v>
      </c>
      <c r="F174" s="5" t="s">
        <v>158</v>
      </c>
      <c r="G174" s="8">
        <v>4181</v>
      </c>
      <c r="H174" s="9">
        <f>G174*12.5%</f>
        <v>522.625</v>
      </c>
      <c r="I174" s="59"/>
      <c r="J174" s="36"/>
      <c r="K174" s="37"/>
    </row>
    <row r="175" spans="1:11" x14ac:dyDescent="0.5">
      <c r="A175" s="5" t="s">
        <v>253</v>
      </c>
      <c r="B175" s="7">
        <v>45877</v>
      </c>
      <c r="C175" s="5" t="s">
        <v>261</v>
      </c>
      <c r="D175" s="5" t="s">
        <v>63</v>
      </c>
      <c r="E175" s="5" t="s">
        <v>21</v>
      </c>
      <c r="F175" s="5" t="s">
        <v>158</v>
      </c>
      <c r="G175" s="8">
        <v>4758</v>
      </c>
      <c r="H175" s="9">
        <f>G175*12.5%</f>
        <v>594.75</v>
      </c>
      <c r="I175" s="60"/>
      <c r="J175" s="36"/>
      <c r="K175" s="37"/>
    </row>
    <row r="176" spans="1:11" x14ac:dyDescent="0.5">
      <c r="A176" s="5" t="s">
        <v>262</v>
      </c>
      <c r="B176" s="7">
        <v>45149</v>
      </c>
      <c r="C176" s="5" t="s">
        <v>23</v>
      </c>
      <c r="D176" s="5" t="s">
        <v>16</v>
      </c>
      <c r="E176" s="5" t="s">
        <v>17</v>
      </c>
      <c r="F176" s="15" t="s">
        <v>18</v>
      </c>
      <c r="G176" s="8">
        <v>4000</v>
      </c>
      <c r="H176" s="9"/>
      <c r="I176" s="9"/>
      <c r="J176" s="36"/>
      <c r="K176" s="37"/>
    </row>
    <row r="177" spans="1:11" ht="27.35" x14ac:dyDescent="0.5">
      <c r="A177" s="5" t="s">
        <v>263</v>
      </c>
      <c r="B177" s="7">
        <v>45154</v>
      </c>
      <c r="C177" s="5" t="s">
        <v>23</v>
      </c>
      <c r="D177" s="5" t="s">
        <v>16</v>
      </c>
      <c r="E177" s="5" t="s">
        <v>17</v>
      </c>
      <c r="F177" s="5" t="s">
        <v>18</v>
      </c>
      <c r="G177" s="8">
        <v>4725</v>
      </c>
      <c r="H177" s="9"/>
      <c r="I177" s="58"/>
      <c r="J177" s="36"/>
      <c r="K177" s="37"/>
    </row>
    <row r="178" spans="1:11" ht="27.35" x14ac:dyDescent="0.5">
      <c r="A178" s="5" t="s">
        <v>263</v>
      </c>
      <c r="B178" s="7">
        <v>45154</v>
      </c>
      <c r="C178" s="5" t="s">
        <v>44</v>
      </c>
      <c r="D178" s="5" t="s">
        <v>45</v>
      </c>
      <c r="E178" s="5" t="s">
        <v>17</v>
      </c>
      <c r="F178" s="5" t="s">
        <v>18</v>
      </c>
      <c r="G178" s="8">
        <v>1182</v>
      </c>
      <c r="H178" s="9">
        <f>G178*12.5%</f>
        <v>147.75</v>
      </c>
      <c r="I178" s="60"/>
      <c r="J178" s="36"/>
      <c r="K178" s="37"/>
    </row>
    <row r="179" spans="1:11" x14ac:dyDescent="0.5">
      <c r="A179" s="5" t="s">
        <v>264</v>
      </c>
      <c r="B179" s="7">
        <v>45155</v>
      </c>
      <c r="C179" s="5" t="s">
        <v>23</v>
      </c>
      <c r="D179" s="5" t="s">
        <v>16</v>
      </c>
      <c r="E179" s="5" t="s">
        <v>17</v>
      </c>
      <c r="F179" s="5" t="s">
        <v>98</v>
      </c>
      <c r="G179" s="8">
        <v>4275</v>
      </c>
      <c r="H179" s="9"/>
      <c r="I179" s="58"/>
      <c r="J179" s="36"/>
      <c r="K179" s="37"/>
    </row>
    <row r="180" spans="1:11" x14ac:dyDescent="0.5">
      <c r="A180" s="5" t="s">
        <v>264</v>
      </c>
      <c r="B180" s="7">
        <v>45155</v>
      </c>
      <c r="C180" s="5" t="s">
        <v>265</v>
      </c>
      <c r="D180" s="5" t="s">
        <v>266</v>
      </c>
      <c r="E180" s="5" t="s">
        <v>17</v>
      </c>
      <c r="F180" s="5" t="s">
        <v>267</v>
      </c>
      <c r="G180" s="8">
        <v>4230</v>
      </c>
      <c r="H180" s="9">
        <f>G180*12.5%</f>
        <v>528.75</v>
      </c>
      <c r="I180" s="59"/>
      <c r="J180" s="36"/>
      <c r="K180" s="37"/>
    </row>
    <row r="181" spans="1:11" x14ac:dyDescent="0.5">
      <c r="A181" s="5" t="s">
        <v>264</v>
      </c>
      <c r="B181" s="7">
        <v>45155</v>
      </c>
      <c r="C181" s="5" t="s">
        <v>37</v>
      </c>
      <c r="D181" s="5" t="s">
        <v>162</v>
      </c>
      <c r="E181" s="5" t="s">
        <v>17</v>
      </c>
      <c r="F181" s="5" t="s">
        <v>18</v>
      </c>
      <c r="G181" s="8">
        <v>2671</v>
      </c>
      <c r="H181" s="9">
        <f>G181*12.5%</f>
        <v>333.875</v>
      </c>
      <c r="I181" s="59"/>
      <c r="J181" s="36"/>
      <c r="K181" s="37"/>
    </row>
    <row r="182" spans="1:11" x14ac:dyDescent="0.5">
      <c r="A182" s="5" t="s">
        <v>264</v>
      </c>
      <c r="B182" s="7">
        <v>45155</v>
      </c>
      <c r="C182" s="5" t="s">
        <v>44</v>
      </c>
      <c r="D182" s="5" t="s">
        <v>45</v>
      </c>
      <c r="E182" s="5" t="s">
        <v>17</v>
      </c>
      <c r="F182" s="5" t="s">
        <v>18</v>
      </c>
      <c r="G182" s="8">
        <v>900</v>
      </c>
      <c r="H182" s="9">
        <f>G182*12.5%</f>
        <v>112.5</v>
      </c>
      <c r="I182" s="59"/>
      <c r="J182" s="36"/>
      <c r="K182" s="37"/>
    </row>
    <row r="183" spans="1:11" x14ac:dyDescent="0.5">
      <c r="A183" s="5" t="s">
        <v>264</v>
      </c>
      <c r="B183" s="7">
        <v>46251</v>
      </c>
      <c r="C183" s="5" t="s">
        <v>268</v>
      </c>
      <c r="D183" s="5" t="s">
        <v>162</v>
      </c>
      <c r="E183" s="5" t="s">
        <v>17</v>
      </c>
      <c r="F183" s="5" t="s">
        <v>119</v>
      </c>
      <c r="G183" s="8">
        <v>50</v>
      </c>
      <c r="H183" s="9">
        <f>G183*12.5%</f>
        <v>6.25</v>
      </c>
      <c r="I183" s="60"/>
      <c r="J183" s="36"/>
      <c r="K183" s="37"/>
    </row>
    <row r="184" spans="1:11" ht="27.35" x14ac:dyDescent="0.5">
      <c r="A184" s="5" t="s">
        <v>269</v>
      </c>
      <c r="B184" s="7">
        <v>45888</v>
      </c>
      <c r="C184" s="5" t="s">
        <v>23</v>
      </c>
      <c r="D184" s="5" t="s">
        <v>107</v>
      </c>
      <c r="E184" s="5" t="s">
        <v>21</v>
      </c>
      <c r="F184" s="5" t="s">
        <v>39</v>
      </c>
      <c r="G184" s="8">
        <v>33415</v>
      </c>
      <c r="H184" s="9"/>
      <c r="I184" s="58"/>
      <c r="J184" s="36"/>
      <c r="K184" s="37"/>
    </row>
    <row r="185" spans="1:11" ht="27.35" x14ac:dyDescent="0.5">
      <c r="A185" s="5" t="s">
        <v>269</v>
      </c>
      <c r="B185" s="7">
        <v>45888</v>
      </c>
      <c r="C185" s="5" t="s">
        <v>172</v>
      </c>
      <c r="D185" s="5" t="s">
        <v>270</v>
      </c>
      <c r="E185" s="5" t="s">
        <v>21</v>
      </c>
      <c r="F185" s="5" t="s">
        <v>271</v>
      </c>
      <c r="G185" s="8">
        <v>23400</v>
      </c>
      <c r="H185" s="9">
        <f>G185*12.5%</f>
        <v>2925</v>
      </c>
      <c r="I185" s="60"/>
      <c r="J185" s="36"/>
      <c r="K185" s="37"/>
    </row>
    <row r="186" spans="1:11" x14ac:dyDescent="0.5">
      <c r="A186" s="5" t="s">
        <v>272</v>
      </c>
      <c r="B186" s="7">
        <v>44794</v>
      </c>
      <c r="C186" s="5" t="s">
        <v>15</v>
      </c>
      <c r="D186" s="5" t="s">
        <v>116</v>
      </c>
      <c r="E186" s="5" t="s">
        <v>17</v>
      </c>
      <c r="F186" s="5" t="s">
        <v>30</v>
      </c>
      <c r="G186" s="8">
        <v>6240</v>
      </c>
      <c r="H186" s="9">
        <f>G186*12%</f>
        <v>748.8</v>
      </c>
      <c r="I186" s="58"/>
      <c r="J186" s="36"/>
      <c r="K186" s="37"/>
    </row>
    <row r="187" spans="1:11" x14ac:dyDescent="0.5">
      <c r="A187" s="5" t="s">
        <v>272</v>
      </c>
      <c r="B187" s="7">
        <v>44794</v>
      </c>
      <c r="C187" s="5" t="s">
        <v>170</v>
      </c>
      <c r="D187" s="5" t="s">
        <v>273</v>
      </c>
      <c r="E187" s="5" t="s">
        <v>17</v>
      </c>
      <c r="F187" s="5" t="s">
        <v>34</v>
      </c>
      <c r="G187" s="8">
        <v>4852</v>
      </c>
      <c r="H187" s="9">
        <f>G187*12%</f>
        <v>582.24</v>
      </c>
      <c r="I187" s="60"/>
      <c r="J187" s="48"/>
      <c r="K187" s="49"/>
    </row>
    <row r="188" spans="1:11" ht="27.35" x14ac:dyDescent="0.5">
      <c r="A188" s="74" t="s">
        <v>408</v>
      </c>
      <c r="B188" s="75">
        <v>45535</v>
      </c>
      <c r="C188" s="74" t="s">
        <v>36</v>
      </c>
      <c r="D188" s="74" t="s">
        <v>275</v>
      </c>
      <c r="E188" s="74" t="s">
        <v>207</v>
      </c>
      <c r="F188" s="74" t="s">
        <v>34</v>
      </c>
      <c r="G188" s="76">
        <v>8390.2999999999993</v>
      </c>
      <c r="H188" s="77">
        <f>G188*12%</f>
        <v>1006.8359999999999</v>
      </c>
      <c r="I188" s="77"/>
      <c r="J188" s="126"/>
      <c r="K188" s="126"/>
    </row>
    <row r="189" spans="1:11" x14ac:dyDescent="0.5">
      <c r="A189" s="74" t="s">
        <v>274</v>
      </c>
      <c r="B189" s="75">
        <v>45535</v>
      </c>
      <c r="C189" s="74" t="s">
        <v>175</v>
      </c>
      <c r="D189" s="74" t="s">
        <v>276</v>
      </c>
      <c r="E189" s="74" t="s">
        <v>207</v>
      </c>
      <c r="F189" s="74" t="s">
        <v>34</v>
      </c>
      <c r="G189" s="76">
        <v>2536</v>
      </c>
      <c r="H189" s="77">
        <f>G189*12%</f>
        <v>304.32</v>
      </c>
      <c r="I189" s="77"/>
      <c r="J189" s="126"/>
      <c r="K189" s="126"/>
    </row>
    <row r="190" spans="1:11" ht="27.35" x14ac:dyDescent="0.5">
      <c r="A190" s="74" t="s">
        <v>409</v>
      </c>
      <c r="B190" s="75">
        <v>45535</v>
      </c>
      <c r="C190" s="74" t="s">
        <v>37</v>
      </c>
      <c r="D190" s="74" t="s">
        <v>42</v>
      </c>
      <c r="E190" s="74" t="s">
        <v>207</v>
      </c>
      <c r="F190" s="74" t="s">
        <v>18</v>
      </c>
      <c r="G190" s="76">
        <v>1328</v>
      </c>
      <c r="H190" s="77">
        <f>G190*12%</f>
        <v>159.35999999999999</v>
      </c>
      <c r="I190" s="77"/>
      <c r="J190" s="126"/>
      <c r="K190" s="126"/>
    </row>
    <row r="191" spans="1:11" ht="27.35" x14ac:dyDescent="0.5">
      <c r="A191" s="74" t="s">
        <v>409</v>
      </c>
      <c r="B191" s="75">
        <v>45535</v>
      </c>
      <c r="C191" s="74" t="s">
        <v>254</v>
      </c>
      <c r="D191" s="74" t="s">
        <v>45</v>
      </c>
      <c r="E191" s="74" t="s">
        <v>17</v>
      </c>
      <c r="F191" s="74" t="s">
        <v>18</v>
      </c>
      <c r="G191" s="76">
        <v>386</v>
      </c>
      <c r="H191" s="77">
        <f>G191*12.5%</f>
        <v>48.25</v>
      </c>
      <c r="I191" s="77"/>
      <c r="J191" s="126"/>
      <c r="K191" s="126"/>
    </row>
    <row r="192" spans="1:11" ht="27.35" x14ac:dyDescent="0.5">
      <c r="A192" s="74" t="s">
        <v>409</v>
      </c>
      <c r="B192" s="75">
        <v>45535</v>
      </c>
      <c r="C192" s="74" t="s">
        <v>155</v>
      </c>
      <c r="D192" s="74" t="s">
        <v>38</v>
      </c>
      <c r="E192" s="74" t="s">
        <v>17</v>
      </c>
      <c r="F192" s="74" t="s">
        <v>18</v>
      </c>
      <c r="G192" s="76">
        <v>492</v>
      </c>
      <c r="H192" s="77">
        <f>G192*12.5%</f>
        <v>61.5</v>
      </c>
      <c r="I192" s="77"/>
      <c r="J192" s="126"/>
      <c r="K192" s="126"/>
    </row>
    <row r="193" spans="1:11" x14ac:dyDescent="0.5">
      <c r="A193" s="66"/>
      <c r="B193" s="25"/>
      <c r="C193" s="66"/>
      <c r="D193" s="66"/>
      <c r="E193" s="66"/>
      <c r="F193" s="66"/>
      <c r="G193" s="44"/>
      <c r="H193" s="45"/>
      <c r="I193" s="45">
        <f>SUM(H168:H193)</f>
        <v>11937.930999999999</v>
      </c>
      <c r="J193" s="124">
        <v>20867.63</v>
      </c>
      <c r="K193" s="124"/>
    </row>
    <row r="194" spans="1:11" x14ac:dyDescent="0.5">
      <c r="A194" s="5" t="s">
        <v>277</v>
      </c>
      <c r="B194" s="7">
        <v>45170</v>
      </c>
      <c r="C194" s="5" t="s">
        <v>23</v>
      </c>
      <c r="D194" s="5" t="s">
        <v>16</v>
      </c>
      <c r="E194" s="5" t="s">
        <v>17</v>
      </c>
      <c r="F194" s="5" t="s">
        <v>39</v>
      </c>
      <c r="G194" s="8">
        <v>18270</v>
      </c>
      <c r="H194" s="9"/>
      <c r="I194" s="9"/>
      <c r="J194" s="34" t="s">
        <v>278</v>
      </c>
      <c r="K194" s="35"/>
    </row>
    <row r="195" spans="1:11" x14ac:dyDescent="0.5">
      <c r="A195" s="5" t="s">
        <v>279</v>
      </c>
      <c r="B195" s="7">
        <v>45901</v>
      </c>
      <c r="C195" s="5" t="s">
        <v>280</v>
      </c>
      <c r="D195" s="5" t="s">
        <v>237</v>
      </c>
      <c r="E195" s="5" t="s">
        <v>17</v>
      </c>
      <c r="F195" s="5" t="s">
        <v>80</v>
      </c>
      <c r="G195" s="8">
        <v>31000</v>
      </c>
      <c r="H195" s="9">
        <f>G195*12.5%</f>
        <v>3875</v>
      </c>
      <c r="I195" s="9"/>
      <c r="J195" s="36"/>
      <c r="K195" s="37"/>
    </row>
    <row r="196" spans="1:11" x14ac:dyDescent="0.5">
      <c r="A196" s="5" t="s">
        <v>279</v>
      </c>
      <c r="B196" s="7">
        <v>45901</v>
      </c>
      <c r="C196" s="5" t="s">
        <v>44</v>
      </c>
      <c r="D196" s="5" t="s">
        <v>281</v>
      </c>
      <c r="E196" s="5" t="s">
        <v>17</v>
      </c>
      <c r="F196" s="5" t="s">
        <v>119</v>
      </c>
      <c r="G196" s="8">
        <v>700</v>
      </c>
      <c r="H196" s="9">
        <f>G196*12.5%</f>
        <v>87.5</v>
      </c>
      <c r="I196" s="9"/>
      <c r="J196" s="36"/>
      <c r="K196" s="37"/>
    </row>
    <row r="197" spans="1:11" ht="27.35" x14ac:dyDescent="0.5">
      <c r="A197" s="5" t="s">
        <v>279</v>
      </c>
      <c r="B197" s="7">
        <v>45901</v>
      </c>
      <c r="C197" s="5" t="s">
        <v>282</v>
      </c>
      <c r="D197" s="5" t="s">
        <v>283</v>
      </c>
      <c r="E197" s="5" t="s">
        <v>17</v>
      </c>
      <c r="F197" s="5" t="s">
        <v>284</v>
      </c>
      <c r="G197" s="8">
        <v>2500</v>
      </c>
      <c r="H197" s="9">
        <f>G197*12.5%</f>
        <v>312.5</v>
      </c>
      <c r="I197" s="9"/>
      <c r="J197" s="36"/>
      <c r="K197" s="37"/>
    </row>
    <row r="198" spans="1:11" ht="27.35" x14ac:dyDescent="0.5">
      <c r="A198" s="5" t="s">
        <v>279</v>
      </c>
      <c r="B198" s="7">
        <v>45901</v>
      </c>
      <c r="C198" s="5" t="s">
        <v>285</v>
      </c>
      <c r="D198" s="5" t="s">
        <v>286</v>
      </c>
      <c r="E198" s="5" t="s">
        <v>17</v>
      </c>
      <c r="F198" s="5" t="s">
        <v>287</v>
      </c>
      <c r="G198" s="8">
        <v>2000</v>
      </c>
      <c r="H198" s="9">
        <f>G198*12.5%</f>
        <v>250</v>
      </c>
      <c r="I198" s="9"/>
      <c r="J198" s="36"/>
      <c r="K198" s="37"/>
    </row>
    <row r="199" spans="1:11" x14ac:dyDescent="0.5">
      <c r="A199" s="5" t="s">
        <v>288</v>
      </c>
      <c r="B199" s="7">
        <v>45901</v>
      </c>
      <c r="C199" s="5" t="s">
        <v>23</v>
      </c>
      <c r="D199" s="5" t="s">
        <v>107</v>
      </c>
      <c r="E199" s="5" t="s">
        <v>21</v>
      </c>
      <c r="F199" s="5" t="s">
        <v>18</v>
      </c>
      <c r="G199" s="8">
        <v>13781</v>
      </c>
      <c r="H199" s="9"/>
      <c r="I199" s="9"/>
      <c r="J199" s="36"/>
      <c r="K199" s="37"/>
    </row>
    <row r="200" spans="1:11" ht="41" x14ac:dyDescent="0.5">
      <c r="A200" s="5" t="s">
        <v>289</v>
      </c>
      <c r="B200" s="7">
        <v>45904</v>
      </c>
      <c r="C200" s="5" t="s">
        <v>23</v>
      </c>
      <c r="D200" s="5" t="s">
        <v>248</v>
      </c>
      <c r="E200" s="5" t="s">
        <v>21</v>
      </c>
      <c r="F200" s="5" t="s">
        <v>249</v>
      </c>
      <c r="G200" s="8">
        <v>5000</v>
      </c>
      <c r="H200" s="9">
        <f>G200*12.5%</f>
        <v>625</v>
      </c>
      <c r="I200" s="9"/>
      <c r="J200" s="36"/>
      <c r="K200" s="37"/>
    </row>
    <row r="201" spans="1:11" x14ac:dyDescent="0.5">
      <c r="A201" s="5" t="s">
        <v>290</v>
      </c>
      <c r="B201" s="7">
        <v>46270</v>
      </c>
      <c r="C201" s="5" t="s">
        <v>291</v>
      </c>
      <c r="D201" s="5" t="s">
        <v>292</v>
      </c>
      <c r="E201" s="5" t="s">
        <v>17</v>
      </c>
      <c r="F201" s="5" t="s">
        <v>39</v>
      </c>
      <c r="G201" s="8"/>
      <c r="H201" s="9"/>
      <c r="I201" s="58"/>
      <c r="J201" s="36"/>
      <c r="K201" s="37"/>
    </row>
    <row r="202" spans="1:11" x14ac:dyDescent="0.5">
      <c r="A202" s="5" t="s">
        <v>290</v>
      </c>
      <c r="B202" s="7">
        <v>46270</v>
      </c>
      <c r="C202" s="5" t="s">
        <v>293</v>
      </c>
      <c r="D202" s="5" t="s">
        <v>190</v>
      </c>
      <c r="E202" s="5" t="s">
        <v>17</v>
      </c>
      <c r="F202" s="5" t="s">
        <v>34</v>
      </c>
      <c r="G202" s="8"/>
      <c r="H202" s="9"/>
      <c r="I202" s="59"/>
      <c r="J202" s="36"/>
      <c r="K202" s="37"/>
    </row>
    <row r="203" spans="1:11" x14ac:dyDescent="0.5">
      <c r="A203" s="5" t="s">
        <v>290</v>
      </c>
      <c r="B203" s="7">
        <v>46270</v>
      </c>
      <c r="C203" s="5" t="s">
        <v>44</v>
      </c>
      <c r="D203" s="5" t="s">
        <v>294</v>
      </c>
      <c r="E203" s="5" t="s">
        <v>17</v>
      </c>
      <c r="F203" s="5" t="s">
        <v>249</v>
      </c>
      <c r="G203" s="8">
        <v>7270</v>
      </c>
      <c r="H203" s="9">
        <f>G203*12.5%</f>
        <v>908.75</v>
      </c>
      <c r="I203" s="59"/>
      <c r="J203" s="36"/>
      <c r="K203" s="37"/>
    </row>
    <row r="204" spans="1:11" x14ac:dyDescent="0.5">
      <c r="A204" s="5" t="s">
        <v>290</v>
      </c>
      <c r="B204" s="7">
        <v>46270</v>
      </c>
      <c r="C204" s="5" t="s">
        <v>28</v>
      </c>
      <c r="D204" s="5" t="s">
        <v>295</v>
      </c>
      <c r="E204" s="5" t="s">
        <v>17</v>
      </c>
      <c r="F204" s="5" t="s">
        <v>39</v>
      </c>
      <c r="G204" s="8">
        <v>96333</v>
      </c>
      <c r="H204" s="9">
        <f>G204*12.5%</f>
        <v>12041.625</v>
      </c>
      <c r="I204" s="59"/>
      <c r="J204" s="36"/>
      <c r="K204" s="37"/>
    </row>
    <row r="205" spans="1:11" x14ac:dyDescent="0.5">
      <c r="A205" s="5" t="s">
        <v>290</v>
      </c>
      <c r="B205" s="7">
        <v>46270</v>
      </c>
      <c r="C205" s="5" t="s">
        <v>113</v>
      </c>
      <c r="D205" s="5" t="s">
        <v>126</v>
      </c>
      <c r="E205" s="5" t="s">
        <v>13</v>
      </c>
      <c r="F205" s="5" t="s">
        <v>98</v>
      </c>
      <c r="G205" s="46">
        <v>4921</v>
      </c>
      <c r="H205" s="47">
        <f>G205*10%</f>
        <v>492.1</v>
      </c>
      <c r="I205" s="60"/>
      <c r="J205" s="36"/>
      <c r="K205" s="37"/>
    </row>
    <row r="206" spans="1:11" x14ac:dyDescent="0.5">
      <c r="A206" s="5" t="s">
        <v>296</v>
      </c>
      <c r="B206" s="7">
        <v>45177</v>
      </c>
      <c r="C206" s="5" t="s">
        <v>23</v>
      </c>
      <c r="D206" s="5" t="s">
        <v>16</v>
      </c>
      <c r="E206" s="5" t="s">
        <v>207</v>
      </c>
      <c r="F206" s="5" t="s">
        <v>18</v>
      </c>
      <c r="G206" s="8">
        <v>65520</v>
      </c>
      <c r="H206" s="9"/>
      <c r="I206" s="9"/>
      <c r="J206" s="36"/>
      <c r="K206" s="37"/>
    </row>
    <row r="207" spans="1:11" x14ac:dyDescent="0.5">
      <c r="A207" s="5" t="s">
        <v>297</v>
      </c>
      <c r="B207" s="7">
        <v>45179</v>
      </c>
      <c r="C207" s="5" t="s">
        <v>55</v>
      </c>
      <c r="D207" s="5" t="s">
        <v>298</v>
      </c>
      <c r="E207" s="5" t="s">
        <v>17</v>
      </c>
      <c r="F207" s="5" t="s">
        <v>39</v>
      </c>
      <c r="G207" s="8">
        <v>4706</v>
      </c>
      <c r="H207" s="9">
        <f>G207*10%</f>
        <v>470.6</v>
      </c>
      <c r="I207" s="9"/>
      <c r="J207" s="36"/>
      <c r="K207" s="37"/>
    </row>
    <row r="208" spans="1:11" ht="27.35" x14ac:dyDescent="0.5">
      <c r="A208" s="5" t="s">
        <v>299</v>
      </c>
      <c r="B208" s="7">
        <v>45546</v>
      </c>
      <c r="C208" s="5" t="s">
        <v>23</v>
      </c>
      <c r="D208" s="5" t="s">
        <v>116</v>
      </c>
      <c r="E208" s="5" t="s">
        <v>17</v>
      </c>
      <c r="F208" s="5" t="s">
        <v>30</v>
      </c>
      <c r="G208" s="8">
        <v>6250</v>
      </c>
      <c r="H208" s="9">
        <f>G208*12.5%</f>
        <v>781.25</v>
      </c>
      <c r="I208" s="9"/>
      <c r="J208" s="36"/>
      <c r="K208" s="37"/>
    </row>
    <row r="209" spans="1:11" ht="27.35" x14ac:dyDescent="0.5">
      <c r="A209" s="5" t="s">
        <v>300</v>
      </c>
      <c r="B209" s="7">
        <v>45911</v>
      </c>
      <c r="C209" s="5" t="s">
        <v>301</v>
      </c>
      <c r="D209" s="5" t="s">
        <v>302</v>
      </c>
      <c r="E209" s="5" t="s">
        <v>17</v>
      </c>
      <c r="F209" s="5" t="s">
        <v>18</v>
      </c>
      <c r="G209" s="8">
        <v>595</v>
      </c>
      <c r="H209" s="9">
        <v>74.38</v>
      </c>
      <c r="I209" s="9"/>
      <c r="J209" s="36"/>
      <c r="K209" s="37"/>
    </row>
    <row r="210" spans="1:11" x14ac:dyDescent="0.5">
      <c r="A210" s="5" t="s">
        <v>303</v>
      </c>
      <c r="B210" s="7">
        <v>44818</v>
      </c>
      <c r="C210" s="5" t="s">
        <v>23</v>
      </c>
      <c r="D210" s="5" t="s">
        <v>16</v>
      </c>
      <c r="E210" s="5" t="s">
        <v>17</v>
      </c>
      <c r="F210" s="5" t="s">
        <v>18</v>
      </c>
      <c r="G210" s="8">
        <v>2500</v>
      </c>
      <c r="H210" s="9"/>
      <c r="I210" s="9"/>
      <c r="J210" s="36"/>
      <c r="K210" s="37"/>
    </row>
    <row r="211" spans="1:11" ht="27.35" x14ac:dyDescent="0.5">
      <c r="A211" s="5" t="s">
        <v>304</v>
      </c>
      <c r="B211" s="7">
        <v>45186</v>
      </c>
      <c r="C211" s="5" t="s">
        <v>142</v>
      </c>
      <c r="D211" s="5" t="s">
        <v>128</v>
      </c>
      <c r="E211" s="5" t="s">
        <v>17</v>
      </c>
      <c r="F211" s="5" t="s">
        <v>34</v>
      </c>
      <c r="G211" s="8">
        <v>28544</v>
      </c>
      <c r="H211" s="9">
        <f>G211*12.5%</f>
        <v>3568</v>
      </c>
      <c r="I211" s="58"/>
      <c r="J211" s="36"/>
      <c r="K211" s="37"/>
    </row>
    <row r="212" spans="1:11" ht="27.35" x14ac:dyDescent="0.5">
      <c r="A212" s="5" t="s">
        <v>304</v>
      </c>
      <c r="B212" s="7">
        <v>45186</v>
      </c>
      <c r="C212" s="5" t="s">
        <v>37</v>
      </c>
      <c r="D212" s="5" t="s">
        <v>128</v>
      </c>
      <c r="E212" s="5" t="s">
        <v>17</v>
      </c>
      <c r="F212" s="5" t="s">
        <v>18</v>
      </c>
      <c r="G212" s="8">
        <v>6925</v>
      </c>
      <c r="H212" s="9">
        <f>G212*0.125</f>
        <v>865.625</v>
      </c>
      <c r="I212" s="60"/>
      <c r="J212" s="36"/>
      <c r="K212" s="37"/>
    </row>
    <row r="213" spans="1:11" x14ac:dyDescent="0.5">
      <c r="A213" s="5" t="s">
        <v>305</v>
      </c>
      <c r="B213" s="7">
        <v>44823</v>
      </c>
      <c r="C213" s="5" t="s">
        <v>23</v>
      </c>
      <c r="D213" s="5" t="s">
        <v>116</v>
      </c>
      <c r="E213" s="5" t="s">
        <v>17</v>
      </c>
      <c r="F213" s="5" t="s">
        <v>98</v>
      </c>
      <c r="G213" s="8">
        <v>18221</v>
      </c>
      <c r="H213" s="9">
        <f>G213*10%</f>
        <v>1822.1000000000001</v>
      </c>
      <c r="I213" s="58"/>
      <c r="J213" s="36"/>
      <c r="K213" s="37"/>
    </row>
    <row r="214" spans="1:11" x14ac:dyDescent="0.5">
      <c r="A214" s="5" t="s">
        <v>305</v>
      </c>
      <c r="B214" s="7">
        <v>44823</v>
      </c>
      <c r="C214" s="5" t="s">
        <v>170</v>
      </c>
      <c r="D214" s="5" t="s">
        <v>54</v>
      </c>
      <c r="E214" s="5" t="s">
        <v>17</v>
      </c>
      <c r="F214" s="15" t="s">
        <v>18</v>
      </c>
      <c r="G214" s="8">
        <v>7647</v>
      </c>
      <c r="H214" s="9">
        <f>G214*10%</f>
        <v>764.7</v>
      </c>
      <c r="I214" s="59"/>
      <c r="J214" s="36"/>
      <c r="K214" s="37"/>
    </row>
    <row r="215" spans="1:11" x14ac:dyDescent="0.5">
      <c r="A215" s="5" t="s">
        <v>305</v>
      </c>
      <c r="B215" s="7">
        <v>44823</v>
      </c>
      <c r="C215" s="5" t="s">
        <v>306</v>
      </c>
      <c r="D215" s="5" t="s">
        <v>42</v>
      </c>
      <c r="E215" s="5" t="s">
        <v>21</v>
      </c>
      <c r="F215" s="5" t="s">
        <v>98</v>
      </c>
      <c r="G215" s="8">
        <v>404</v>
      </c>
      <c r="H215" s="9">
        <f>G215*6.5%</f>
        <v>26.26</v>
      </c>
      <c r="I215" s="59"/>
      <c r="J215" s="36"/>
      <c r="K215" s="37"/>
    </row>
    <row r="216" spans="1:11" x14ac:dyDescent="0.5">
      <c r="A216" s="5" t="s">
        <v>305</v>
      </c>
      <c r="B216" s="7">
        <v>44823</v>
      </c>
      <c r="C216" s="5" t="s">
        <v>307</v>
      </c>
      <c r="D216" s="5" t="s">
        <v>258</v>
      </c>
      <c r="E216" s="5" t="s">
        <v>17</v>
      </c>
      <c r="F216" s="5" t="s">
        <v>18</v>
      </c>
      <c r="G216" s="8">
        <v>4134</v>
      </c>
      <c r="H216" s="9">
        <f>G216*12.5%</f>
        <v>516.75</v>
      </c>
      <c r="I216" s="59"/>
      <c r="J216" s="36"/>
      <c r="K216" s="37"/>
    </row>
    <row r="217" spans="1:11" x14ac:dyDescent="0.5">
      <c r="A217" s="5" t="s">
        <v>305</v>
      </c>
      <c r="B217" s="7">
        <v>44823</v>
      </c>
      <c r="C217" s="5" t="s">
        <v>308</v>
      </c>
      <c r="D217" s="5" t="s">
        <v>302</v>
      </c>
      <c r="E217" s="5" t="s">
        <v>17</v>
      </c>
      <c r="F217" s="5" t="s">
        <v>18</v>
      </c>
      <c r="G217" s="8">
        <v>2138</v>
      </c>
      <c r="H217" s="9">
        <f>G217*10%</f>
        <v>213.8</v>
      </c>
      <c r="I217" s="59"/>
      <c r="J217" s="36"/>
      <c r="K217" s="37"/>
    </row>
    <row r="218" spans="1:11" x14ac:dyDescent="0.5">
      <c r="A218" s="5" t="s">
        <v>305</v>
      </c>
      <c r="B218" s="7">
        <v>44823</v>
      </c>
      <c r="C218" s="5" t="s">
        <v>291</v>
      </c>
      <c r="D218" s="5" t="s">
        <v>309</v>
      </c>
      <c r="E218" s="5" t="s">
        <v>17</v>
      </c>
      <c r="F218" s="5" t="s">
        <v>18</v>
      </c>
      <c r="G218" s="8">
        <v>5054</v>
      </c>
      <c r="H218" s="9">
        <f>G218*10%</f>
        <v>505.40000000000003</v>
      </c>
      <c r="I218" s="59"/>
      <c r="J218" s="36"/>
      <c r="K218" s="37"/>
    </row>
    <row r="219" spans="1:11" x14ac:dyDescent="0.5">
      <c r="A219" s="5" t="s">
        <v>305</v>
      </c>
      <c r="B219" s="7">
        <v>44823</v>
      </c>
      <c r="C219" s="5" t="s">
        <v>44</v>
      </c>
      <c r="D219" s="5" t="s">
        <v>45</v>
      </c>
      <c r="E219" s="5" t="s">
        <v>17</v>
      </c>
      <c r="F219" s="5" t="s">
        <v>18</v>
      </c>
      <c r="G219" s="8">
        <v>1544</v>
      </c>
      <c r="H219" s="9">
        <f>G219*12.5%</f>
        <v>193</v>
      </c>
      <c r="I219" s="59"/>
      <c r="J219" s="36"/>
      <c r="K219" s="37"/>
    </row>
    <row r="220" spans="1:11" x14ac:dyDescent="0.5">
      <c r="A220" s="5" t="s">
        <v>305</v>
      </c>
      <c r="B220" s="7">
        <v>44823</v>
      </c>
      <c r="C220" s="5" t="s">
        <v>144</v>
      </c>
      <c r="D220" s="5" t="s">
        <v>42</v>
      </c>
      <c r="E220" s="5" t="s">
        <v>17</v>
      </c>
      <c r="F220" s="5" t="s">
        <v>284</v>
      </c>
      <c r="G220" s="8">
        <v>1000</v>
      </c>
      <c r="H220" s="9">
        <f t="shared" ref="H220:H221" si="11">G220*12.5%</f>
        <v>125</v>
      </c>
      <c r="I220" s="59"/>
      <c r="J220" s="36"/>
      <c r="K220" s="37"/>
    </row>
    <row r="221" spans="1:11" ht="27.35" x14ac:dyDescent="0.5">
      <c r="A221" s="5" t="s">
        <v>305</v>
      </c>
      <c r="B221" s="7">
        <v>44823</v>
      </c>
      <c r="C221" s="5" t="s">
        <v>310</v>
      </c>
      <c r="D221" s="5" t="s">
        <v>311</v>
      </c>
      <c r="E221" s="5" t="s">
        <v>17</v>
      </c>
      <c r="F221" s="5" t="s">
        <v>312</v>
      </c>
      <c r="G221" s="8">
        <v>1500</v>
      </c>
      <c r="H221" s="9">
        <f t="shared" si="11"/>
        <v>187.5</v>
      </c>
      <c r="I221" s="59"/>
      <c r="J221" s="36"/>
      <c r="K221" s="37"/>
    </row>
    <row r="222" spans="1:11" x14ac:dyDescent="0.5">
      <c r="A222" s="5" t="s">
        <v>305</v>
      </c>
      <c r="B222" s="7">
        <v>45554</v>
      </c>
      <c r="C222" s="5" t="s">
        <v>313</v>
      </c>
      <c r="D222" s="5" t="s">
        <v>42</v>
      </c>
      <c r="E222" s="5" t="s">
        <v>21</v>
      </c>
      <c r="F222" s="15" t="s">
        <v>18</v>
      </c>
      <c r="G222" s="8">
        <v>1381</v>
      </c>
      <c r="H222" s="9">
        <f>G222*10%</f>
        <v>138.1</v>
      </c>
      <c r="I222" s="59"/>
      <c r="J222" s="36"/>
      <c r="K222" s="37"/>
    </row>
    <row r="223" spans="1:11" x14ac:dyDescent="0.5">
      <c r="A223" s="5" t="s">
        <v>305</v>
      </c>
      <c r="B223" s="7">
        <v>45188</v>
      </c>
      <c r="C223" s="5" t="s">
        <v>113</v>
      </c>
      <c r="D223" s="5" t="s">
        <v>42</v>
      </c>
      <c r="E223" s="5" t="s">
        <v>21</v>
      </c>
      <c r="F223" s="5" t="s">
        <v>18</v>
      </c>
      <c r="G223" s="29">
        <v>1654</v>
      </c>
      <c r="H223" s="9">
        <f>G223*15%</f>
        <v>248.1</v>
      </c>
      <c r="I223" s="60"/>
      <c r="J223" s="36"/>
      <c r="K223" s="37"/>
    </row>
    <row r="224" spans="1:11" x14ac:dyDescent="0.5">
      <c r="A224" s="5" t="s">
        <v>314</v>
      </c>
      <c r="B224" s="7">
        <v>44834</v>
      </c>
      <c r="C224" s="5" t="s">
        <v>23</v>
      </c>
      <c r="D224" s="5" t="s">
        <v>42</v>
      </c>
      <c r="E224" s="5" t="s">
        <v>315</v>
      </c>
      <c r="F224" s="5" t="s">
        <v>316</v>
      </c>
      <c r="G224" s="8">
        <v>4835</v>
      </c>
      <c r="H224" s="9">
        <f>G224*9%</f>
        <v>435.15</v>
      </c>
      <c r="I224" s="58"/>
      <c r="J224" s="36"/>
      <c r="K224" s="37"/>
    </row>
    <row r="225" spans="1:11" x14ac:dyDescent="0.5">
      <c r="A225" s="5" t="s">
        <v>314</v>
      </c>
      <c r="B225" s="7">
        <v>44834</v>
      </c>
      <c r="C225" s="5" t="s">
        <v>317</v>
      </c>
      <c r="D225" s="5" t="s">
        <v>318</v>
      </c>
      <c r="E225" s="5" t="s">
        <v>315</v>
      </c>
      <c r="F225" s="5" t="s">
        <v>319</v>
      </c>
      <c r="G225" s="8">
        <v>7500</v>
      </c>
      <c r="H225" s="9">
        <f>G225*9%</f>
        <v>675</v>
      </c>
      <c r="I225" s="59"/>
      <c r="J225" s="36"/>
      <c r="K225" s="37"/>
    </row>
    <row r="226" spans="1:11" x14ac:dyDescent="0.5">
      <c r="A226" s="5" t="s">
        <v>314</v>
      </c>
      <c r="B226" s="7">
        <v>44834</v>
      </c>
      <c r="C226" s="5" t="s">
        <v>113</v>
      </c>
      <c r="D226" s="5" t="s">
        <v>42</v>
      </c>
      <c r="E226" s="5" t="s">
        <v>17</v>
      </c>
      <c r="F226" s="5" t="s">
        <v>320</v>
      </c>
      <c r="G226" s="8">
        <v>578</v>
      </c>
      <c r="H226" s="9">
        <f>G226*15%</f>
        <v>86.7</v>
      </c>
      <c r="I226" s="59"/>
      <c r="J226" s="36"/>
      <c r="K226" s="37"/>
    </row>
    <row r="227" spans="1:11" x14ac:dyDescent="0.5">
      <c r="A227" s="5" t="s">
        <v>314</v>
      </c>
      <c r="B227" s="7">
        <v>44834</v>
      </c>
      <c r="C227" s="78" t="s">
        <v>44</v>
      </c>
      <c r="D227" s="78" t="s">
        <v>45</v>
      </c>
      <c r="E227" s="78" t="s">
        <v>17</v>
      </c>
      <c r="F227" s="78" t="s">
        <v>34</v>
      </c>
      <c r="G227" s="8">
        <v>2372</v>
      </c>
      <c r="H227" s="9">
        <f>G227*12.5%</f>
        <v>296.5</v>
      </c>
      <c r="I227" s="59"/>
      <c r="J227" s="36"/>
      <c r="K227" s="37"/>
    </row>
    <row r="228" spans="1:11" x14ac:dyDescent="0.5">
      <c r="A228" s="5" t="s">
        <v>314</v>
      </c>
      <c r="B228" s="7">
        <v>45565</v>
      </c>
      <c r="C228" s="78" t="s">
        <v>44</v>
      </c>
      <c r="D228" s="78" t="s">
        <v>42</v>
      </c>
      <c r="E228" s="78" t="s">
        <v>17</v>
      </c>
      <c r="F228" s="78" t="s">
        <v>18</v>
      </c>
      <c r="G228" s="8">
        <v>1250</v>
      </c>
      <c r="H228" s="9">
        <f>G228*12.5%</f>
        <v>156.25</v>
      </c>
      <c r="I228" s="59"/>
      <c r="J228" s="36"/>
      <c r="K228" s="37"/>
    </row>
    <row r="229" spans="1:11" x14ac:dyDescent="0.5">
      <c r="A229" s="5" t="s">
        <v>314</v>
      </c>
      <c r="B229" s="7">
        <v>45565</v>
      </c>
      <c r="C229" s="78" t="s">
        <v>44</v>
      </c>
      <c r="D229" s="78" t="s">
        <v>136</v>
      </c>
      <c r="E229" s="78" t="s">
        <v>17</v>
      </c>
      <c r="F229" s="78" t="s">
        <v>18</v>
      </c>
      <c r="G229" s="8">
        <v>1500</v>
      </c>
      <c r="H229" s="9">
        <f>G229*12.5%</f>
        <v>187.5</v>
      </c>
      <c r="I229" s="59"/>
      <c r="J229" s="36"/>
      <c r="K229" s="37"/>
    </row>
    <row r="230" spans="1:11" x14ac:dyDescent="0.5">
      <c r="A230" s="5" t="s">
        <v>314</v>
      </c>
      <c r="B230" s="7">
        <v>44834</v>
      </c>
      <c r="C230" s="78" t="s">
        <v>291</v>
      </c>
      <c r="D230" s="78" t="s">
        <v>63</v>
      </c>
      <c r="E230" s="78" t="s">
        <v>63</v>
      </c>
      <c r="F230" s="78" t="s">
        <v>321</v>
      </c>
      <c r="G230" s="8">
        <v>3849</v>
      </c>
      <c r="H230" s="9">
        <f>G230*15%</f>
        <v>577.35</v>
      </c>
      <c r="I230" s="59"/>
      <c r="J230" s="36"/>
      <c r="K230" s="37"/>
    </row>
    <row r="231" spans="1:11" x14ac:dyDescent="0.5">
      <c r="A231" s="5" t="s">
        <v>314</v>
      </c>
      <c r="B231" s="7">
        <v>45565</v>
      </c>
      <c r="C231" s="78" t="s">
        <v>322</v>
      </c>
      <c r="D231" s="78" t="s">
        <v>63</v>
      </c>
      <c r="E231" s="78" t="s">
        <v>323</v>
      </c>
      <c r="F231" s="78" t="s">
        <v>34</v>
      </c>
      <c r="G231" s="8">
        <v>2200</v>
      </c>
      <c r="H231" s="9">
        <f>G231*9%</f>
        <v>198</v>
      </c>
      <c r="I231" s="60"/>
      <c r="J231" s="36"/>
      <c r="K231" s="37"/>
    </row>
    <row r="232" spans="1:11" x14ac:dyDescent="0.5">
      <c r="A232" s="78" t="s">
        <v>324</v>
      </c>
      <c r="B232" s="7">
        <v>45930</v>
      </c>
      <c r="C232" s="78" t="s">
        <v>44</v>
      </c>
      <c r="D232" s="78" t="s">
        <v>118</v>
      </c>
      <c r="E232" s="78" t="s">
        <v>17</v>
      </c>
      <c r="F232" s="78" t="s">
        <v>18</v>
      </c>
      <c r="G232" s="8">
        <v>3187</v>
      </c>
      <c r="H232" s="9">
        <f>G232*12.5%</f>
        <v>398.375</v>
      </c>
      <c r="I232" s="58"/>
      <c r="J232" s="36"/>
      <c r="K232" s="37"/>
    </row>
    <row r="233" spans="1:11" x14ac:dyDescent="0.5">
      <c r="A233" s="78" t="s">
        <v>324</v>
      </c>
      <c r="B233" s="7">
        <v>46295</v>
      </c>
      <c r="C233" s="78" t="s">
        <v>144</v>
      </c>
      <c r="D233" s="78" t="s">
        <v>42</v>
      </c>
      <c r="E233" s="78" t="s">
        <v>17</v>
      </c>
      <c r="F233" s="78" t="s">
        <v>18</v>
      </c>
      <c r="G233" s="8">
        <v>2236</v>
      </c>
      <c r="H233" s="9">
        <f t="shared" ref="H233:H234" si="12">G233*12.5%</f>
        <v>279.5</v>
      </c>
      <c r="I233" s="59"/>
      <c r="J233" s="36"/>
      <c r="K233" s="37"/>
    </row>
    <row r="234" spans="1:11" x14ac:dyDescent="0.5">
      <c r="A234" s="78" t="s">
        <v>324</v>
      </c>
      <c r="B234" s="7">
        <v>46295</v>
      </c>
      <c r="C234" s="78" t="s">
        <v>144</v>
      </c>
      <c r="D234" s="78" t="s">
        <v>48</v>
      </c>
      <c r="E234" s="78" t="s">
        <v>17</v>
      </c>
      <c r="F234" s="78" t="s">
        <v>18</v>
      </c>
      <c r="G234" s="8">
        <v>2544</v>
      </c>
      <c r="H234" s="9">
        <f t="shared" si="12"/>
        <v>318</v>
      </c>
      <c r="I234" s="59"/>
      <c r="J234" s="36"/>
      <c r="K234" s="37"/>
    </row>
    <row r="235" spans="1:11" x14ac:dyDescent="0.5">
      <c r="A235" s="78" t="s">
        <v>324</v>
      </c>
      <c r="B235" s="7">
        <v>45930</v>
      </c>
      <c r="C235" s="78" t="s">
        <v>41</v>
      </c>
      <c r="D235" s="78" t="s">
        <v>136</v>
      </c>
      <c r="E235" s="78" t="s">
        <v>17</v>
      </c>
      <c r="F235" s="78" t="s">
        <v>39</v>
      </c>
      <c r="G235" s="8">
        <v>80000</v>
      </c>
      <c r="H235" s="9">
        <f>G235*15%</f>
        <v>12000</v>
      </c>
      <c r="I235" s="59"/>
      <c r="J235" s="36"/>
      <c r="K235" s="37"/>
    </row>
    <row r="236" spans="1:11" x14ac:dyDescent="0.5">
      <c r="A236" s="78" t="s">
        <v>324</v>
      </c>
      <c r="B236" s="7">
        <v>45930</v>
      </c>
      <c r="C236" s="78" t="s">
        <v>37</v>
      </c>
      <c r="D236" s="78" t="s">
        <v>63</v>
      </c>
      <c r="E236" s="78" t="s">
        <v>17</v>
      </c>
      <c r="F236" s="78" t="s">
        <v>18</v>
      </c>
      <c r="G236" s="8">
        <v>5106</v>
      </c>
      <c r="H236" s="9">
        <v>750</v>
      </c>
      <c r="I236" s="60"/>
      <c r="J236" s="48"/>
      <c r="K236" s="49"/>
    </row>
    <row r="237" spans="1:11" x14ac:dyDescent="0.5">
      <c r="A237" s="79"/>
      <c r="B237" s="25"/>
      <c r="C237" s="79"/>
      <c r="D237" s="79"/>
      <c r="E237" s="79"/>
      <c r="F237" s="79"/>
      <c r="G237" s="44"/>
      <c r="H237" s="45"/>
      <c r="I237" s="45">
        <f>SUM(H194:H237)</f>
        <v>45451.364999999991</v>
      </c>
      <c r="J237" s="124">
        <v>12765.27</v>
      </c>
      <c r="K237" s="124">
        <v>1367.63</v>
      </c>
    </row>
    <row r="238" spans="1:11" ht="27.35" x14ac:dyDescent="0.5">
      <c r="A238" s="78" t="s">
        <v>325</v>
      </c>
      <c r="B238" s="7">
        <v>46296</v>
      </c>
      <c r="C238" s="78" t="s">
        <v>28</v>
      </c>
      <c r="D238" s="78" t="s">
        <v>24</v>
      </c>
      <c r="E238" s="78" t="s">
        <v>17</v>
      </c>
      <c r="F238" s="78" t="s">
        <v>321</v>
      </c>
      <c r="G238" s="8">
        <v>780</v>
      </c>
      <c r="H238" s="9">
        <f>G238*0.125</f>
        <v>97.5</v>
      </c>
      <c r="I238" s="9"/>
      <c r="J238" s="125"/>
      <c r="K238" s="136"/>
    </row>
    <row r="239" spans="1:11" ht="45" x14ac:dyDescent="0.5">
      <c r="A239" s="80" t="s">
        <v>326</v>
      </c>
      <c r="B239" s="7">
        <v>44840</v>
      </c>
      <c r="C239" s="80" t="s">
        <v>15</v>
      </c>
      <c r="D239" s="81" t="s">
        <v>16</v>
      </c>
      <c r="E239" s="81" t="s">
        <v>21</v>
      </c>
      <c r="F239" s="80" t="s">
        <v>39</v>
      </c>
      <c r="G239" s="63">
        <v>46552</v>
      </c>
      <c r="H239" s="9"/>
      <c r="I239" s="9"/>
      <c r="J239" s="34"/>
      <c r="K239" s="35"/>
    </row>
    <row r="240" spans="1:11" ht="15" x14ac:dyDescent="0.5">
      <c r="A240" s="80" t="s">
        <v>327</v>
      </c>
      <c r="B240" s="7">
        <v>45573</v>
      </c>
      <c r="C240" s="80" t="s">
        <v>23</v>
      </c>
      <c r="D240" s="80" t="s">
        <v>24</v>
      </c>
      <c r="E240" s="81" t="s">
        <v>17</v>
      </c>
      <c r="F240" s="80" t="s">
        <v>34</v>
      </c>
      <c r="G240" s="63">
        <v>1050</v>
      </c>
      <c r="H240" s="9">
        <f>G240*0.125</f>
        <v>131.25</v>
      </c>
      <c r="I240" s="9"/>
      <c r="J240" s="36"/>
      <c r="K240" s="37"/>
    </row>
    <row r="241" spans="1:11" ht="27.35" x14ac:dyDescent="0.5">
      <c r="A241" s="5" t="s">
        <v>328</v>
      </c>
      <c r="B241" s="7">
        <v>44844</v>
      </c>
      <c r="C241" s="5" t="s">
        <v>113</v>
      </c>
      <c r="D241" s="5" t="s">
        <v>126</v>
      </c>
      <c r="E241" s="5" t="s">
        <v>13</v>
      </c>
      <c r="F241" s="5" t="s">
        <v>329</v>
      </c>
      <c r="G241" s="62">
        <v>4445</v>
      </c>
      <c r="H241" s="47">
        <f>G241*15%</f>
        <v>666.75</v>
      </c>
      <c r="I241" s="9"/>
      <c r="J241" s="36"/>
      <c r="K241" s="37"/>
    </row>
    <row r="242" spans="1:11" x14ac:dyDescent="0.5">
      <c r="A242" s="5" t="s">
        <v>330</v>
      </c>
      <c r="B242" s="7">
        <v>45941</v>
      </c>
      <c r="C242" s="5" t="s">
        <v>23</v>
      </c>
      <c r="D242" s="5" t="s">
        <v>331</v>
      </c>
      <c r="E242" s="5" t="s">
        <v>17</v>
      </c>
      <c r="F242" s="5" t="s">
        <v>39</v>
      </c>
      <c r="G242" s="63">
        <v>29936</v>
      </c>
      <c r="H242" s="9">
        <f>G242*0.125</f>
        <v>3742</v>
      </c>
      <c r="I242" s="9"/>
      <c r="J242" s="36"/>
      <c r="K242" s="37"/>
    </row>
    <row r="243" spans="1:11" x14ac:dyDescent="0.5">
      <c r="A243" s="5" t="s">
        <v>330</v>
      </c>
      <c r="B243" s="7">
        <v>45941</v>
      </c>
      <c r="C243" s="5" t="s">
        <v>332</v>
      </c>
      <c r="D243" s="5" t="s">
        <v>54</v>
      </c>
      <c r="E243" s="5" t="s">
        <v>17</v>
      </c>
      <c r="F243" s="5" t="s">
        <v>333</v>
      </c>
      <c r="G243" s="63">
        <v>13000</v>
      </c>
      <c r="H243" s="9">
        <f t="shared" ref="H243:H246" si="13">G243*0.125</f>
        <v>1625</v>
      </c>
      <c r="I243" s="9"/>
      <c r="J243" s="36"/>
      <c r="K243" s="37"/>
    </row>
    <row r="244" spans="1:11" x14ac:dyDescent="0.5">
      <c r="A244" s="5" t="s">
        <v>330</v>
      </c>
      <c r="B244" s="7">
        <v>45941</v>
      </c>
      <c r="C244" s="5" t="s">
        <v>334</v>
      </c>
      <c r="D244" s="5" t="s">
        <v>335</v>
      </c>
      <c r="E244" s="5" t="s">
        <v>17</v>
      </c>
      <c r="F244" s="5" t="s">
        <v>336</v>
      </c>
      <c r="G244" s="63">
        <v>12500</v>
      </c>
      <c r="H244" s="9">
        <f t="shared" si="13"/>
        <v>1562.5</v>
      </c>
      <c r="I244" s="9"/>
      <c r="J244" s="36"/>
      <c r="K244" s="37"/>
    </row>
    <row r="245" spans="1:11" x14ac:dyDescent="0.5">
      <c r="A245" s="5" t="s">
        <v>330</v>
      </c>
      <c r="B245" s="7">
        <v>45941</v>
      </c>
      <c r="C245" s="5" t="s">
        <v>337</v>
      </c>
      <c r="D245" s="5" t="s">
        <v>338</v>
      </c>
      <c r="E245" s="5" t="s">
        <v>17</v>
      </c>
      <c r="F245" s="5" t="s">
        <v>339</v>
      </c>
      <c r="G245" s="63">
        <v>9000</v>
      </c>
      <c r="H245" s="9">
        <f t="shared" si="13"/>
        <v>1125</v>
      </c>
      <c r="I245" s="9"/>
      <c r="J245" s="36"/>
      <c r="K245" s="37"/>
    </row>
    <row r="246" spans="1:11" x14ac:dyDescent="0.5">
      <c r="A246" s="5" t="s">
        <v>330</v>
      </c>
      <c r="B246" s="7">
        <v>45941</v>
      </c>
      <c r="C246" s="5" t="s">
        <v>340</v>
      </c>
      <c r="D246" s="5" t="s">
        <v>341</v>
      </c>
      <c r="E246" s="5" t="s">
        <v>17</v>
      </c>
      <c r="F246" s="5" t="s">
        <v>342</v>
      </c>
      <c r="G246" s="63">
        <v>10000</v>
      </c>
      <c r="H246" s="9">
        <f t="shared" si="13"/>
        <v>1250</v>
      </c>
      <c r="I246" s="9"/>
      <c r="J246" s="36"/>
      <c r="K246" s="37"/>
    </row>
    <row r="247" spans="1:11" ht="27.35" x14ac:dyDescent="0.5">
      <c r="A247" s="5" t="s">
        <v>343</v>
      </c>
      <c r="B247" s="7">
        <v>45216</v>
      </c>
      <c r="C247" s="5" t="s">
        <v>113</v>
      </c>
      <c r="D247" s="5" t="s">
        <v>126</v>
      </c>
      <c r="E247" s="5" t="s">
        <v>181</v>
      </c>
      <c r="F247" s="5" t="s">
        <v>344</v>
      </c>
      <c r="G247" s="62">
        <v>8907</v>
      </c>
      <c r="H247" s="47">
        <f>G247*0.1</f>
        <v>890.7</v>
      </c>
      <c r="I247" s="9"/>
      <c r="J247" s="36"/>
      <c r="K247" s="37"/>
    </row>
    <row r="248" spans="1:11" x14ac:dyDescent="0.5">
      <c r="A248" s="5" t="s">
        <v>345</v>
      </c>
      <c r="B248" s="7">
        <v>45948</v>
      </c>
      <c r="C248" s="5" t="s">
        <v>28</v>
      </c>
      <c r="D248" s="5" t="s">
        <v>42</v>
      </c>
      <c r="E248" s="5" t="s">
        <v>17</v>
      </c>
      <c r="F248" s="5" t="s">
        <v>18</v>
      </c>
      <c r="G248" s="63">
        <v>3500</v>
      </c>
      <c r="H248" s="9">
        <f t="shared" ref="H248:H259" si="14">G248*12.5%</f>
        <v>437.5</v>
      </c>
      <c r="I248" s="9"/>
      <c r="J248" s="36"/>
      <c r="K248" s="37"/>
    </row>
    <row r="249" spans="1:11" x14ac:dyDescent="0.5">
      <c r="A249" s="5" t="s">
        <v>345</v>
      </c>
      <c r="B249" s="7">
        <v>45948</v>
      </c>
      <c r="C249" s="5" t="s">
        <v>346</v>
      </c>
      <c r="D249" s="5" t="s">
        <v>45</v>
      </c>
      <c r="E249" s="5" t="s">
        <v>17</v>
      </c>
      <c r="F249" s="5" t="s">
        <v>347</v>
      </c>
      <c r="G249" s="63">
        <v>900</v>
      </c>
      <c r="H249" s="9">
        <f t="shared" si="14"/>
        <v>112.5</v>
      </c>
      <c r="I249" s="9"/>
      <c r="J249" s="36"/>
      <c r="K249" s="37"/>
    </row>
    <row r="250" spans="1:11" x14ac:dyDescent="0.5">
      <c r="A250" s="5" t="s">
        <v>348</v>
      </c>
      <c r="B250" s="7">
        <v>45587</v>
      </c>
      <c r="C250" s="5" t="s">
        <v>349</v>
      </c>
      <c r="D250" s="5" t="s">
        <v>136</v>
      </c>
      <c r="E250" s="5" t="s">
        <v>17</v>
      </c>
      <c r="F250" s="5" t="s">
        <v>39</v>
      </c>
      <c r="G250" s="63">
        <v>68000</v>
      </c>
      <c r="H250" s="9">
        <f t="shared" si="14"/>
        <v>8500</v>
      </c>
      <c r="I250" s="9"/>
      <c r="J250" s="36"/>
      <c r="K250" s="37"/>
    </row>
    <row r="251" spans="1:11" x14ac:dyDescent="0.5">
      <c r="A251" s="5" t="s">
        <v>348</v>
      </c>
      <c r="B251" s="7">
        <v>45952</v>
      </c>
      <c r="C251" s="5" t="s">
        <v>37</v>
      </c>
      <c r="D251" s="5" t="s">
        <v>128</v>
      </c>
      <c r="E251" s="5" t="s">
        <v>17</v>
      </c>
      <c r="F251" s="5" t="s">
        <v>18</v>
      </c>
      <c r="G251" s="63">
        <v>5466</v>
      </c>
      <c r="H251" s="9">
        <f t="shared" si="14"/>
        <v>683.25</v>
      </c>
      <c r="I251" s="9"/>
      <c r="J251" s="36"/>
      <c r="K251" s="37"/>
    </row>
    <row r="252" spans="1:11" x14ac:dyDescent="0.5">
      <c r="A252" s="5" t="s">
        <v>348</v>
      </c>
      <c r="B252" s="7">
        <v>45587</v>
      </c>
      <c r="C252" s="5" t="s">
        <v>44</v>
      </c>
      <c r="D252" s="5" t="s">
        <v>45</v>
      </c>
      <c r="E252" s="5" t="s">
        <v>17</v>
      </c>
      <c r="F252" s="5" t="s">
        <v>18</v>
      </c>
      <c r="G252" s="63">
        <v>1228</v>
      </c>
      <c r="H252" s="9">
        <f t="shared" si="14"/>
        <v>153.5</v>
      </c>
      <c r="I252" s="9"/>
      <c r="J252" s="36"/>
      <c r="K252" s="37"/>
    </row>
    <row r="253" spans="1:11" x14ac:dyDescent="0.5">
      <c r="A253" s="5" t="s">
        <v>348</v>
      </c>
      <c r="B253" s="7">
        <v>45587</v>
      </c>
      <c r="C253" s="5" t="s">
        <v>155</v>
      </c>
      <c r="D253" s="5" t="s">
        <v>101</v>
      </c>
      <c r="E253" s="5" t="s">
        <v>17</v>
      </c>
      <c r="F253" s="5" t="s">
        <v>18</v>
      </c>
      <c r="G253" s="63">
        <v>1000</v>
      </c>
      <c r="H253" s="9">
        <f t="shared" si="14"/>
        <v>125</v>
      </c>
      <c r="I253" s="9"/>
      <c r="J253" s="36"/>
      <c r="K253" s="37"/>
    </row>
    <row r="254" spans="1:11" x14ac:dyDescent="0.5">
      <c r="A254" s="5" t="s">
        <v>348</v>
      </c>
      <c r="B254" s="7">
        <v>45587</v>
      </c>
      <c r="C254" s="5" t="s">
        <v>102</v>
      </c>
      <c r="D254" s="5" t="s">
        <v>103</v>
      </c>
      <c r="E254" s="5" t="s">
        <v>17</v>
      </c>
      <c r="F254" s="5" t="s">
        <v>18</v>
      </c>
      <c r="G254" s="63">
        <v>1500</v>
      </c>
      <c r="H254" s="9">
        <f t="shared" si="14"/>
        <v>187.5</v>
      </c>
      <c r="I254" s="9"/>
      <c r="J254" s="36"/>
      <c r="K254" s="37"/>
    </row>
    <row r="255" spans="1:11" x14ac:dyDescent="0.5">
      <c r="A255" s="5" t="s">
        <v>348</v>
      </c>
      <c r="B255" s="7">
        <v>45587</v>
      </c>
      <c r="C255" s="5" t="s">
        <v>104</v>
      </c>
      <c r="D255" s="5" t="s">
        <v>42</v>
      </c>
      <c r="E255" s="5" t="s">
        <v>17</v>
      </c>
      <c r="F255" s="5" t="s">
        <v>18</v>
      </c>
      <c r="G255" s="63">
        <v>1000</v>
      </c>
      <c r="H255" s="9">
        <f t="shared" si="14"/>
        <v>125</v>
      </c>
      <c r="I255" s="9"/>
      <c r="J255" s="36"/>
      <c r="K255" s="37"/>
    </row>
    <row r="256" spans="1:11" x14ac:dyDescent="0.5">
      <c r="A256" s="5" t="s">
        <v>350</v>
      </c>
      <c r="B256" s="7">
        <v>46317</v>
      </c>
      <c r="C256" s="5" t="s">
        <v>37</v>
      </c>
      <c r="D256" s="5" t="s">
        <v>128</v>
      </c>
      <c r="E256" s="5" t="s">
        <v>21</v>
      </c>
      <c r="F256" s="5" t="s">
        <v>316</v>
      </c>
      <c r="G256" s="63">
        <v>5953</v>
      </c>
      <c r="H256" s="9">
        <v>744.13</v>
      </c>
      <c r="I256" s="9"/>
      <c r="J256" s="36"/>
      <c r="K256" s="37"/>
    </row>
    <row r="257" spans="1:11" ht="27.35" x14ac:dyDescent="0.5">
      <c r="A257" s="5" t="s">
        <v>179</v>
      </c>
      <c r="B257" s="7">
        <v>45225</v>
      </c>
      <c r="C257" s="5" t="s">
        <v>351</v>
      </c>
      <c r="D257" s="5" t="s">
        <v>126</v>
      </c>
      <c r="E257" s="5" t="s">
        <v>21</v>
      </c>
      <c r="F257" s="5" t="s">
        <v>18</v>
      </c>
      <c r="G257" s="63">
        <v>10222</v>
      </c>
      <c r="H257" s="9">
        <f t="shared" si="14"/>
        <v>1277.75</v>
      </c>
      <c r="I257" s="58"/>
      <c r="J257" s="36"/>
      <c r="K257" s="37"/>
    </row>
    <row r="258" spans="1:11" x14ac:dyDescent="0.5">
      <c r="A258" s="5" t="s">
        <v>179</v>
      </c>
      <c r="B258" s="7">
        <v>45225</v>
      </c>
      <c r="C258" s="5" t="s">
        <v>192</v>
      </c>
      <c r="D258" s="5" t="s">
        <v>352</v>
      </c>
      <c r="E258" s="5" t="s">
        <v>21</v>
      </c>
      <c r="F258" s="5" t="s">
        <v>119</v>
      </c>
      <c r="G258" s="63">
        <v>1648</v>
      </c>
      <c r="H258" s="9">
        <f t="shared" si="14"/>
        <v>206</v>
      </c>
      <c r="I258" s="59"/>
      <c r="J258" s="36"/>
      <c r="K258" s="37"/>
    </row>
    <row r="259" spans="1:11" x14ac:dyDescent="0.5">
      <c r="A259" s="5" t="s">
        <v>179</v>
      </c>
      <c r="B259" s="7">
        <v>45225</v>
      </c>
      <c r="C259" s="5" t="s">
        <v>37</v>
      </c>
      <c r="D259" s="5" t="s">
        <v>353</v>
      </c>
      <c r="E259" s="5" t="s">
        <v>21</v>
      </c>
      <c r="F259" s="15" t="s">
        <v>18</v>
      </c>
      <c r="G259" s="8">
        <v>2722</v>
      </c>
      <c r="H259" s="9">
        <f t="shared" si="14"/>
        <v>340.25</v>
      </c>
      <c r="I259" s="60"/>
      <c r="J259" s="36"/>
      <c r="K259" s="37"/>
    </row>
    <row r="260" spans="1:11" x14ac:dyDescent="0.5">
      <c r="A260" s="5" t="s">
        <v>274</v>
      </c>
      <c r="B260" s="7">
        <v>45960</v>
      </c>
      <c r="C260" s="5" t="s">
        <v>36</v>
      </c>
      <c r="D260" s="5" t="s">
        <v>275</v>
      </c>
      <c r="E260" s="5" t="s">
        <v>207</v>
      </c>
      <c r="F260" s="5" t="s">
        <v>34</v>
      </c>
      <c r="G260" s="8">
        <v>48963</v>
      </c>
      <c r="H260" s="9">
        <f>G260*12%</f>
        <v>5875.5599999999995</v>
      </c>
      <c r="I260" s="9"/>
      <c r="J260" s="36"/>
      <c r="K260" s="37"/>
    </row>
    <row r="261" spans="1:11" x14ac:dyDescent="0.5">
      <c r="A261" s="5" t="s">
        <v>274</v>
      </c>
      <c r="B261" s="7">
        <v>45960</v>
      </c>
      <c r="C261" s="5" t="s">
        <v>175</v>
      </c>
      <c r="D261" s="5" t="s">
        <v>354</v>
      </c>
      <c r="E261" s="5" t="s">
        <v>207</v>
      </c>
      <c r="F261" s="5" t="s">
        <v>34</v>
      </c>
      <c r="G261" s="8">
        <v>14000</v>
      </c>
      <c r="H261" s="9">
        <f>G261*12%</f>
        <v>1680</v>
      </c>
      <c r="I261" s="9"/>
      <c r="J261" s="36"/>
      <c r="K261" s="37"/>
    </row>
    <row r="262" spans="1:11" x14ac:dyDescent="0.5">
      <c r="A262" s="5" t="s">
        <v>274</v>
      </c>
      <c r="B262" s="7">
        <v>45960</v>
      </c>
      <c r="C262" s="5" t="s">
        <v>37</v>
      </c>
      <c r="D262" s="5" t="s">
        <v>42</v>
      </c>
      <c r="E262" s="5" t="s">
        <v>207</v>
      </c>
      <c r="F262" s="5" t="s">
        <v>18</v>
      </c>
      <c r="G262" s="8">
        <v>8100</v>
      </c>
      <c r="H262" s="9">
        <f>G262*12%</f>
        <v>972</v>
      </c>
      <c r="I262" s="9"/>
      <c r="J262" s="36"/>
      <c r="K262" s="37"/>
    </row>
    <row r="263" spans="1:11" x14ac:dyDescent="0.5">
      <c r="A263" s="5" t="s">
        <v>274</v>
      </c>
      <c r="B263" s="7">
        <v>45960</v>
      </c>
      <c r="C263" s="5" t="s">
        <v>254</v>
      </c>
      <c r="D263" s="5" t="s">
        <v>45</v>
      </c>
      <c r="E263" s="5" t="s">
        <v>17</v>
      </c>
      <c r="F263" s="5" t="s">
        <v>18</v>
      </c>
      <c r="G263" s="8">
        <v>2307</v>
      </c>
      <c r="H263" s="9">
        <f>G263*12.5%</f>
        <v>288.375</v>
      </c>
      <c r="I263" s="9"/>
      <c r="J263" s="36"/>
      <c r="K263" s="37"/>
    </row>
    <row r="264" spans="1:11" x14ac:dyDescent="0.5">
      <c r="A264" s="5" t="s">
        <v>274</v>
      </c>
      <c r="B264" s="7">
        <v>45960</v>
      </c>
      <c r="C264" s="5" t="s">
        <v>155</v>
      </c>
      <c r="D264" s="5" t="s">
        <v>38</v>
      </c>
      <c r="E264" s="5" t="s">
        <v>17</v>
      </c>
      <c r="F264" s="5" t="s">
        <v>18</v>
      </c>
      <c r="G264" s="8">
        <v>3000</v>
      </c>
      <c r="H264" s="9">
        <f>G264*12.5%</f>
        <v>375</v>
      </c>
      <c r="I264" s="9"/>
      <c r="J264" s="36"/>
      <c r="K264" s="37"/>
    </row>
    <row r="265" spans="1:11" x14ac:dyDescent="0.5">
      <c r="A265" s="5" t="s">
        <v>274</v>
      </c>
      <c r="B265" s="7">
        <v>45960</v>
      </c>
      <c r="C265" s="5" t="s">
        <v>355</v>
      </c>
      <c r="D265" s="5" t="s">
        <v>311</v>
      </c>
      <c r="E265" s="5" t="s">
        <v>17</v>
      </c>
      <c r="F265" s="5" t="s">
        <v>356</v>
      </c>
      <c r="G265" s="8">
        <v>2000</v>
      </c>
      <c r="H265" s="9">
        <f>G265*12.5%</f>
        <v>250</v>
      </c>
      <c r="I265" s="9"/>
      <c r="J265" s="48"/>
      <c r="K265" s="49"/>
    </row>
    <row r="266" spans="1:11" x14ac:dyDescent="0.5">
      <c r="A266" s="66"/>
      <c r="B266" s="25"/>
      <c r="C266" s="66"/>
      <c r="D266" s="66"/>
      <c r="E266" s="66"/>
      <c r="F266" s="66"/>
      <c r="G266" s="61"/>
      <c r="H266" s="45"/>
      <c r="I266" s="45">
        <f>SUM(H239:H266)</f>
        <v>33326.514999999999</v>
      </c>
      <c r="J266" s="124">
        <v>20429.189999999999</v>
      </c>
      <c r="K266" s="124">
        <v>4251.57</v>
      </c>
    </row>
    <row r="267" spans="1:11" x14ac:dyDescent="0.5">
      <c r="A267" s="5" t="s">
        <v>357</v>
      </c>
      <c r="B267" s="7">
        <v>44866</v>
      </c>
      <c r="C267" s="5" t="s">
        <v>113</v>
      </c>
      <c r="D267" s="5" t="s">
        <v>126</v>
      </c>
      <c r="E267" s="5" t="s">
        <v>181</v>
      </c>
      <c r="F267" s="5" t="s">
        <v>358</v>
      </c>
      <c r="G267" s="46">
        <v>1993</v>
      </c>
      <c r="H267" s="47">
        <f>G267*10%</f>
        <v>199.3</v>
      </c>
      <c r="I267" s="9"/>
      <c r="J267" s="34"/>
      <c r="K267" s="35"/>
    </row>
    <row r="268" spans="1:11" x14ac:dyDescent="0.5">
      <c r="A268" s="5" t="s">
        <v>357</v>
      </c>
      <c r="B268" s="7">
        <v>44866</v>
      </c>
      <c r="C268" s="5" t="s">
        <v>180</v>
      </c>
      <c r="D268" s="5" t="s">
        <v>126</v>
      </c>
      <c r="E268" s="5" t="s">
        <v>181</v>
      </c>
      <c r="F268" s="5" t="s">
        <v>358</v>
      </c>
      <c r="G268" s="46">
        <v>1046</v>
      </c>
      <c r="H268" s="47">
        <f>G268*10%</f>
        <v>104.60000000000001</v>
      </c>
      <c r="I268" s="9"/>
      <c r="J268" s="36"/>
      <c r="K268" s="37"/>
    </row>
    <row r="269" spans="1:11" x14ac:dyDescent="0.5">
      <c r="A269" s="5" t="s">
        <v>359</v>
      </c>
      <c r="B269" s="7">
        <v>45972</v>
      </c>
      <c r="C269" s="5" t="s">
        <v>15</v>
      </c>
      <c r="D269" s="5" t="s">
        <v>16</v>
      </c>
      <c r="E269" s="5" t="s">
        <v>17</v>
      </c>
      <c r="F269" s="5" t="s">
        <v>18</v>
      </c>
      <c r="G269" s="8">
        <v>5219</v>
      </c>
      <c r="H269" s="9"/>
      <c r="I269" s="9"/>
      <c r="J269" s="36"/>
      <c r="K269" s="37"/>
    </row>
    <row r="270" spans="1:11" x14ac:dyDescent="0.5">
      <c r="A270" s="5" t="s">
        <v>360</v>
      </c>
      <c r="B270" s="7">
        <v>45975</v>
      </c>
      <c r="C270" s="5" t="s">
        <v>15</v>
      </c>
      <c r="D270" s="5" t="s">
        <v>16</v>
      </c>
      <c r="E270" s="5" t="s">
        <v>17</v>
      </c>
      <c r="F270" s="5" t="s">
        <v>18</v>
      </c>
      <c r="G270" s="8">
        <v>3516</v>
      </c>
      <c r="H270" s="9"/>
      <c r="I270" s="9"/>
      <c r="J270" s="36"/>
      <c r="K270" s="37"/>
    </row>
    <row r="271" spans="1:11" x14ac:dyDescent="0.5">
      <c r="A271" s="5" t="s">
        <v>50</v>
      </c>
      <c r="B271" s="7">
        <v>45612</v>
      </c>
      <c r="C271" s="5" t="s">
        <v>113</v>
      </c>
      <c r="D271" s="5" t="s">
        <v>42</v>
      </c>
      <c r="E271" s="5" t="s">
        <v>21</v>
      </c>
      <c r="F271" s="5" t="s">
        <v>98</v>
      </c>
      <c r="G271" s="8">
        <v>365</v>
      </c>
      <c r="H271" s="9">
        <v>0</v>
      </c>
      <c r="I271" s="9"/>
      <c r="J271" s="36"/>
      <c r="K271" s="37"/>
    </row>
    <row r="272" spans="1:11" x14ac:dyDescent="0.5">
      <c r="A272" s="5" t="s">
        <v>50</v>
      </c>
      <c r="B272" s="7">
        <v>45604</v>
      </c>
      <c r="C272" s="5" t="s">
        <v>180</v>
      </c>
      <c r="D272" s="5" t="s">
        <v>63</v>
      </c>
      <c r="E272" s="5" t="s">
        <v>21</v>
      </c>
      <c r="F272" s="71" t="s">
        <v>163</v>
      </c>
      <c r="G272" s="8">
        <v>522</v>
      </c>
      <c r="H272" s="9">
        <v>0</v>
      </c>
      <c r="I272" s="9"/>
      <c r="J272" s="36"/>
      <c r="K272" s="37"/>
    </row>
    <row r="273" spans="1:11" ht="33" customHeight="1" x14ac:dyDescent="0.5">
      <c r="A273" s="5" t="s">
        <v>50</v>
      </c>
      <c r="B273" s="7">
        <v>45617</v>
      </c>
      <c r="C273" s="5" t="s">
        <v>361</v>
      </c>
      <c r="D273" s="5" t="s">
        <v>45</v>
      </c>
      <c r="E273" s="5" t="s">
        <v>17</v>
      </c>
      <c r="F273" s="5" t="s">
        <v>362</v>
      </c>
      <c r="G273" s="8">
        <v>2330</v>
      </c>
      <c r="H273" s="9">
        <f>G273*12.5%</f>
        <v>291.25</v>
      </c>
      <c r="I273" s="9"/>
      <c r="J273" s="36"/>
      <c r="K273" s="37"/>
    </row>
    <row r="274" spans="1:11" ht="26.7" customHeight="1" x14ac:dyDescent="0.5">
      <c r="A274" s="5" t="s">
        <v>363</v>
      </c>
      <c r="B274" s="7">
        <v>45612</v>
      </c>
      <c r="C274" s="5" t="s">
        <v>23</v>
      </c>
      <c r="D274" s="5" t="s">
        <v>16</v>
      </c>
      <c r="E274" s="5" t="s">
        <v>17</v>
      </c>
      <c r="F274" s="5" t="s">
        <v>316</v>
      </c>
      <c r="G274" s="8">
        <v>6854</v>
      </c>
      <c r="H274" s="9"/>
      <c r="I274" s="9"/>
      <c r="J274" s="36"/>
      <c r="K274" s="37"/>
    </row>
    <row r="275" spans="1:11" ht="24" customHeight="1" x14ac:dyDescent="0.5">
      <c r="A275" s="5" t="s">
        <v>363</v>
      </c>
      <c r="B275" s="7">
        <v>45612</v>
      </c>
      <c r="C275" s="5" t="s">
        <v>44</v>
      </c>
      <c r="D275" s="5" t="s">
        <v>352</v>
      </c>
      <c r="E275" s="5" t="s">
        <v>17</v>
      </c>
      <c r="F275" s="5" t="s">
        <v>18</v>
      </c>
      <c r="G275" s="8">
        <v>1057</v>
      </c>
      <c r="H275" s="9">
        <f>G275*10%</f>
        <v>105.7</v>
      </c>
      <c r="I275" s="9"/>
      <c r="J275" s="36"/>
      <c r="K275" s="37"/>
    </row>
    <row r="276" spans="1:11" ht="27.35" x14ac:dyDescent="0.5">
      <c r="A276" s="82" t="s">
        <v>363</v>
      </c>
      <c r="B276" s="7">
        <v>45977</v>
      </c>
      <c r="C276" s="5" t="s">
        <v>282</v>
      </c>
      <c r="D276" s="5" t="s">
        <v>63</v>
      </c>
      <c r="E276" s="5" t="s">
        <v>17</v>
      </c>
      <c r="F276" s="5" t="s">
        <v>18</v>
      </c>
      <c r="G276" s="8">
        <v>2500</v>
      </c>
      <c r="H276" s="9">
        <f>G276*0.125</f>
        <v>312.5</v>
      </c>
      <c r="I276" s="9"/>
      <c r="J276" s="36"/>
      <c r="K276" s="37"/>
    </row>
    <row r="277" spans="1:11" x14ac:dyDescent="0.5">
      <c r="A277" s="5" t="s">
        <v>364</v>
      </c>
      <c r="B277" s="7">
        <v>45622</v>
      </c>
      <c r="C277" s="5" t="s">
        <v>44</v>
      </c>
      <c r="D277" s="5" t="s">
        <v>45</v>
      </c>
      <c r="E277" s="5" t="s">
        <v>17</v>
      </c>
      <c r="F277" s="5" t="s">
        <v>34</v>
      </c>
      <c r="G277" s="8">
        <v>7028</v>
      </c>
      <c r="H277" s="9">
        <f>G277*12.5%</f>
        <v>878.5</v>
      </c>
      <c r="I277" s="9"/>
      <c r="J277" s="36"/>
      <c r="K277" s="37"/>
    </row>
    <row r="278" spans="1:11" x14ac:dyDescent="0.5">
      <c r="A278" s="5" t="s">
        <v>364</v>
      </c>
      <c r="B278" s="7">
        <v>45622</v>
      </c>
      <c r="C278" s="5" t="s">
        <v>28</v>
      </c>
      <c r="D278" s="5" t="s">
        <v>168</v>
      </c>
      <c r="E278" s="5" t="s">
        <v>17</v>
      </c>
      <c r="F278" s="5" t="s">
        <v>34</v>
      </c>
      <c r="G278" s="8">
        <v>26000</v>
      </c>
      <c r="H278" s="9">
        <f>G278*12.5%</f>
        <v>3250</v>
      </c>
      <c r="I278" s="9"/>
      <c r="J278" s="36"/>
      <c r="K278" s="37"/>
    </row>
    <row r="279" spans="1:11" x14ac:dyDescent="0.5">
      <c r="A279" s="5" t="s">
        <v>364</v>
      </c>
      <c r="B279" s="7">
        <v>45622</v>
      </c>
      <c r="C279" s="5" t="s">
        <v>365</v>
      </c>
      <c r="D279" s="5" t="s">
        <v>366</v>
      </c>
      <c r="E279" s="5" t="s">
        <v>17</v>
      </c>
      <c r="F279" s="5" t="s">
        <v>39</v>
      </c>
      <c r="G279" s="8">
        <v>25209</v>
      </c>
      <c r="H279" s="9">
        <f>G279*12.5%</f>
        <v>3151.125</v>
      </c>
      <c r="I279" s="9"/>
      <c r="J279" s="48"/>
      <c r="K279" s="49"/>
    </row>
    <row r="280" spans="1:11" x14ac:dyDescent="0.5">
      <c r="A280" s="148"/>
      <c r="B280" s="149"/>
      <c r="C280" s="149"/>
      <c r="D280" s="149"/>
      <c r="E280" s="149"/>
      <c r="F280" s="149"/>
      <c r="G280" s="150"/>
      <c r="H280" s="45"/>
      <c r="I280" s="45">
        <f>SUM(H267:H280)</f>
        <v>8292.9750000000004</v>
      </c>
      <c r="J280" s="127">
        <v>10524</v>
      </c>
      <c r="K280" s="127">
        <v>2259.6</v>
      </c>
    </row>
    <row r="281" spans="1:11" x14ac:dyDescent="0.5">
      <c r="A281" s="50" t="s">
        <v>367</v>
      </c>
      <c r="B281" s="51">
        <v>45627</v>
      </c>
      <c r="C281" s="50" t="s">
        <v>41</v>
      </c>
      <c r="D281" s="50" t="s">
        <v>81</v>
      </c>
      <c r="E281" s="50" t="s">
        <v>17</v>
      </c>
      <c r="F281" s="50" t="s">
        <v>18</v>
      </c>
      <c r="G281" s="83">
        <v>13050</v>
      </c>
      <c r="H281" s="52">
        <f>G281*12.5%</f>
        <v>1631.25</v>
      </c>
      <c r="I281" s="52"/>
      <c r="J281" s="84"/>
      <c r="K281" s="85"/>
    </row>
    <row r="282" spans="1:11" x14ac:dyDescent="0.5">
      <c r="A282" s="50" t="s">
        <v>368</v>
      </c>
      <c r="B282" s="51">
        <v>45627</v>
      </c>
      <c r="C282" s="50" t="s">
        <v>41</v>
      </c>
      <c r="D282" s="50" t="s">
        <v>81</v>
      </c>
      <c r="E282" s="50" t="s">
        <v>17</v>
      </c>
      <c r="F282" s="50" t="s">
        <v>18</v>
      </c>
      <c r="G282" s="83">
        <v>13050</v>
      </c>
      <c r="H282" s="52">
        <f>G282*12.5%</f>
        <v>1631.25</v>
      </c>
      <c r="I282" s="86"/>
      <c r="J282" s="87"/>
      <c r="K282" s="88"/>
    </row>
    <row r="283" spans="1:11" x14ac:dyDescent="0.5">
      <c r="A283" s="50" t="s">
        <v>369</v>
      </c>
      <c r="B283" s="51">
        <v>44896</v>
      </c>
      <c r="C283" s="50" t="s">
        <v>23</v>
      </c>
      <c r="D283" s="50" t="s">
        <v>16</v>
      </c>
      <c r="E283" s="5" t="s">
        <v>17</v>
      </c>
      <c r="F283" s="50" t="s">
        <v>18</v>
      </c>
      <c r="G283" s="83">
        <v>2500</v>
      </c>
      <c r="H283" s="52"/>
      <c r="I283" s="52"/>
      <c r="J283" s="87"/>
      <c r="K283" s="88"/>
    </row>
    <row r="284" spans="1:11" x14ac:dyDescent="0.5">
      <c r="A284" s="50" t="s">
        <v>357</v>
      </c>
      <c r="B284" s="51">
        <v>45627</v>
      </c>
      <c r="C284" s="50" t="s">
        <v>96</v>
      </c>
      <c r="D284" s="50" t="s">
        <v>97</v>
      </c>
      <c r="E284" s="50" t="s">
        <v>17</v>
      </c>
      <c r="F284" s="50" t="s">
        <v>18</v>
      </c>
      <c r="G284" s="83">
        <v>5313</v>
      </c>
      <c r="H284" s="52">
        <f>G284*10%</f>
        <v>531.30000000000007</v>
      </c>
      <c r="I284" s="52"/>
      <c r="J284" s="87"/>
      <c r="K284" s="88"/>
    </row>
    <row r="285" spans="1:11" x14ac:dyDescent="0.5">
      <c r="A285" s="50" t="s">
        <v>357</v>
      </c>
      <c r="B285" s="51">
        <v>45627</v>
      </c>
      <c r="C285" s="50" t="s">
        <v>370</v>
      </c>
      <c r="D285" s="50" t="s">
        <v>97</v>
      </c>
      <c r="E285" s="50" t="s">
        <v>17</v>
      </c>
      <c r="F285" s="50" t="s">
        <v>39</v>
      </c>
      <c r="G285" s="83">
        <v>8057</v>
      </c>
      <c r="H285" s="52">
        <f>G285*10%</f>
        <v>805.7</v>
      </c>
      <c r="I285" s="52"/>
      <c r="J285" s="87"/>
      <c r="K285" s="88"/>
    </row>
    <row r="286" spans="1:11" ht="41" x14ac:dyDescent="0.5">
      <c r="A286" s="50" t="s">
        <v>357</v>
      </c>
      <c r="B286" s="51">
        <v>45627</v>
      </c>
      <c r="C286" s="50" t="s">
        <v>90</v>
      </c>
      <c r="D286" s="50" t="s">
        <v>371</v>
      </c>
      <c r="E286" s="50" t="s">
        <v>91</v>
      </c>
      <c r="F286" s="50" t="s">
        <v>372</v>
      </c>
      <c r="G286" s="83">
        <v>3522</v>
      </c>
      <c r="H286" s="52">
        <f>G286*10%</f>
        <v>352.20000000000005</v>
      </c>
      <c r="I286" s="52"/>
      <c r="J286" s="87"/>
      <c r="K286" s="88"/>
    </row>
    <row r="287" spans="1:11" x14ac:dyDescent="0.5">
      <c r="A287" s="50" t="s">
        <v>357</v>
      </c>
      <c r="B287" s="51">
        <v>45627</v>
      </c>
      <c r="C287" s="50" t="s">
        <v>136</v>
      </c>
      <c r="D287" s="50" t="s">
        <v>136</v>
      </c>
      <c r="E287" s="50" t="s">
        <v>17</v>
      </c>
      <c r="F287" s="50" t="s">
        <v>39</v>
      </c>
      <c r="G287" s="83">
        <v>75000</v>
      </c>
      <c r="H287" s="52">
        <f t="shared" ref="H287:H294" si="15">G287*12.5%</f>
        <v>9375</v>
      </c>
      <c r="I287" s="52"/>
      <c r="J287" s="87"/>
      <c r="K287" s="88"/>
    </row>
    <row r="288" spans="1:11" x14ac:dyDescent="0.5">
      <c r="A288" s="50" t="s">
        <v>357</v>
      </c>
      <c r="B288" s="51">
        <v>45627</v>
      </c>
      <c r="C288" s="50" t="s">
        <v>236</v>
      </c>
      <c r="D288" s="50" t="s">
        <v>42</v>
      </c>
      <c r="E288" s="50" t="s">
        <v>17</v>
      </c>
      <c r="F288" s="50" t="s">
        <v>271</v>
      </c>
      <c r="G288" s="83">
        <v>41250</v>
      </c>
      <c r="H288" s="52">
        <f t="shared" si="15"/>
        <v>5156.25</v>
      </c>
      <c r="I288" s="52"/>
      <c r="J288" s="87"/>
      <c r="K288" s="88"/>
    </row>
    <row r="289" spans="1:11" x14ac:dyDescent="0.5">
      <c r="A289" s="50" t="s">
        <v>357</v>
      </c>
      <c r="B289" s="51">
        <v>45627</v>
      </c>
      <c r="C289" s="50" t="s">
        <v>236</v>
      </c>
      <c r="D289" s="50" t="s">
        <v>295</v>
      </c>
      <c r="E289" s="50" t="s">
        <v>17</v>
      </c>
      <c r="F289" s="50" t="s">
        <v>373</v>
      </c>
      <c r="G289" s="83">
        <v>24750</v>
      </c>
      <c r="H289" s="52">
        <f t="shared" si="15"/>
        <v>3093.75</v>
      </c>
      <c r="I289" s="52"/>
      <c r="J289" s="87"/>
      <c r="K289" s="88"/>
    </row>
    <row r="290" spans="1:11" x14ac:dyDescent="0.5">
      <c r="A290" s="50" t="s">
        <v>357</v>
      </c>
      <c r="B290" s="51">
        <v>45627</v>
      </c>
      <c r="C290" s="50" t="s">
        <v>236</v>
      </c>
      <c r="D290" s="50" t="s">
        <v>374</v>
      </c>
      <c r="E290" s="50" t="s">
        <v>17</v>
      </c>
      <c r="F290" s="50" t="s">
        <v>375</v>
      </c>
      <c r="G290" s="83">
        <v>20000</v>
      </c>
      <c r="H290" s="52">
        <f t="shared" si="15"/>
        <v>2500</v>
      </c>
      <c r="I290" s="52"/>
      <c r="J290" s="87"/>
      <c r="K290" s="88"/>
    </row>
    <row r="291" spans="1:11" x14ac:dyDescent="0.5">
      <c r="A291" s="50" t="s">
        <v>357</v>
      </c>
      <c r="B291" s="51">
        <v>45627</v>
      </c>
      <c r="C291" s="50" t="s">
        <v>236</v>
      </c>
      <c r="D291" s="50" t="s">
        <v>366</v>
      </c>
      <c r="E291" s="50" t="s">
        <v>17</v>
      </c>
      <c r="F291" s="50" t="s">
        <v>376</v>
      </c>
      <c r="G291" s="83">
        <v>15000</v>
      </c>
      <c r="H291" s="52">
        <f t="shared" si="15"/>
        <v>1875</v>
      </c>
      <c r="I291" s="52"/>
      <c r="J291" s="87"/>
      <c r="K291" s="88"/>
    </row>
    <row r="292" spans="1:11" x14ac:dyDescent="0.5">
      <c r="A292" s="50" t="s">
        <v>357</v>
      </c>
      <c r="B292" s="51">
        <v>46357</v>
      </c>
      <c r="C292" s="50" t="s">
        <v>377</v>
      </c>
      <c r="D292" s="50" t="s">
        <v>48</v>
      </c>
      <c r="E292" s="50" t="s">
        <v>17</v>
      </c>
      <c r="F292" s="50" t="s">
        <v>158</v>
      </c>
      <c r="G292" s="83">
        <v>4047</v>
      </c>
      <c r="H292" s="52">
        <f t="shared" si="15"/>
        <v>505.875</v>
      </c>
      <c r="I292" s="52"/>
      <c r="J292" s="87"/>
      <c r="K292" s="88"/>
    </row>
    <row r="293" spans="1:11" x14ac:dyDescent="0.5">
      <c r="A293" s="50" t="s">
        <v>357</v>
      </c>
      <c r="B293" s="51">
        <v>46357</v>
      </c>
      <c r="C293" s="50" t="s">
        <v>155</v>
      </c>
      <c r="D293" s="50" t="s">
        <v>378</v>
      </c>
      <c r="E293" s="50" t="s">
        <v>17</v>
      </c>
      <c r="F293" s="50" t="s">
        <v>284</v>
      </c>
      <c r="G293" s="83">
        <v>6746</v>
      </c>
      <c r="H293" s="52">
        <f t="shared" si="15"/>
        <v>843.25</v>
      </c>
      <c r="I293" s="52"/>
      <c r="J293" s="87"/>
      <c r="K293" s="88"/>
    </row>
    <row r="294" spans="1:11" x14ac:dyDescent="0.5">
      <c r="A294" s="50" t="s">
        <v>357</v>
      </c>
      <c r="B294" s="51">
        <v>46357</v>
      </c>
      <c r="C294" s="50" t="s">
        <v>379</v>
      </c>
      <c r="D294" s="50" t="s">
        <v>118</v>
      </c>
      <c r="E294" s="50" t="s">
        <v>17</v>
      </c>
      <c r="F294" s="50" t="s">
        <v>284</v>
      </c>
      <c r="G294" s="83">
        <v>12279</v>
      </c>
      <c r="H294" s="52">
        <f t="shared" si="15"/>
        <v>1534.875</v>
      </c>
      <c r="I294" s="52"/>
      <c r="J294" s="87"/>
      <c r="K294" s="88"/>
    </row>
    <row r="295" spans="1:11" x14ac:dyDescent="0.5">
      <c r="A295" s="50" t="s">
        <v>380</v>
      </c>
      <c r="B295" s="51">
        <v>45630</v>
      </c>
      <c r="C295" s="50" t="s">
        <v>15</v>
      </c>
      <c r="D295" s="50" t="s">
        <v>16</v>
      </c>
      <c r="E295" s="50" t="s">
        <v>17</v>
      </c>
      <c r="F295" s="50" t="s">
        <v>18</v>
      </c>
      <c r="G295" s="83">
        <v>3125</v>
      </c>
      <c r="H295" s="52"/>
      <c r="I295" s="52"/>
      <c r="J295" s="87"/>
      <c r="K295" s="88"/>
    </row>
    <row r="296" spans="1:11" ht="27.35" x14ac:dyDescent="0.5">
      <c r="A296" s="50" t="s">
        <v>381</v>
      </c>
      <c r="B296" s="51">
        <v>45995</v>
      </c>
      <c r="C296" s="50" t="s">
        <v>236</v>
      </c>
      <c r="D296" s="50" t="s">
        <v>382</v>
      </c>
      <c r="E296" s="50" t="s">
        <v>17</v>
      </c>
      <c r="F296" s="50" t="s">
        <v>80</v>
      </c>
      <c r="G296" s="83">
        <v>259910</v>
      </c>
      <c r="H296" s="52">
        <f t="shared" ref="H296:H301" si="16">G296*12.5%</f>
        <v>32488.75</v>
      </c>
      <c r="I296" s="52"/>
      <c r="J296" s="87"/>
      <c r="K296" s="88"/>
    </row>
    <row r="297" spans="1:11" x14ac:dyDescent="0.5">
      <c r="A297" s="50" t="s">
        <v>381</v>
      </c>
      <c r="B297" s="51">
        <v>45995</v>
      </c>
      <c r="C297" s="50" t="s">
        <v>37</v>
      </c>
      <c r="D297" s="50" t="s">
        <v>383</v>
      </c>
      <c r="E297" s="50" t="s">
        <v>17</v>
      </c>
      <c r="F297" s="50" t="s">
        <v>39</v>
      </c>
      <c r="G297" s="83">
        <v>25075</v>
      </c>
      <c r="H297" s="52">
        <f t="shared" si="16"/>
        <v>3134.375</v>
      </c>
      <c r="I297" s="52"/>
      <c r="J297" s="87"/>
      <c r="K297" s="88"/>
    </row>
    <row r="298" spans="1:11" ht="27.35" x14ac:dyDescent="0.5">
      <c r="A298" s="50" t="s">
        <v>381</v>
      </c>
      <c r="B298" s="51">
        <v>45995</v>
      </c>
      <c r="C298" s="50" t="s">
        <v>44</v>
      </c>
      <c r="D298" s="50" t="s">
        <v>384</v>
      </c>
      <c r="E298" s="50" t="s">
        <v>17</v>
      </c>
      <c r="F298" s="50" t="s">
        <v>385</v>
      </c>
      <c r="G298" s="83">
        <v>24878</v>
      </c>
      <c r="H298" s="52">
        <f t="shared" si="16"/>
        <v>3109.75</v>
      </c>
      <c r="I298" s="52"/>
      <c r="J298" s="87"/>
      <c r="K298" s="88"/>
    </row>
    <row r="299" spans="1:11" x14ac:dyDescent="0.5">
      <c r="A299" s="5" t="s">
        <v>386</v>
      </c>
      <c r="B299" s="7">
        <v>45637</v>
      </c>
      <c r="C299" s="5" t="s">
        <v>387</v>
      </c>
      <c r="D299" s="5" t="s">
        <v>136</v>
      </c>
      <c r="E299" s="5" t="s">
        <v>207</v>
      </c>
      <c r="F299" s="5" t="s">
        <v>39</v>
      </c>
      <c r="G299" s="8">
        <v>78000</v>
      </c>
      <c r="H299" s="9">
        <f>G299*12.5%</f>
        <v>9750</v>
      </c>
      <c r="I299" s="9"/>
      <c r="J299" s="87"/>
      <c r="K299" s="88"/>
    </row>
    <row r="300" spans="1:11" x14ac:dyDescent="0.5">
      <c r="A300" s="5" t="s">
        <v>386</v>
      </c>
      <c r="B300" s="7">
        <v>45637</v>
      </c>
      <c r="C300" s="5" t="s">
        <v>291</v>
      </c>
      <c r="D300" s="5" t="s">
        <v>136</v>
      </c>
      <c r="E300" s="5" t="s">
        <v>207</v>
      </c>
      <c r="F300" s="5" t="s">
        <v>18</v>
      </c>
      <c r="G300" s="8">
        <v>7870</v>
      </c>
      <c r="H300" s="9">
        <f t="shared" si="16"/>
        <v>983.75</v>
      </c>
      <c r="I300" s="9"/>
      <c r="J300" s="87"/>
      <c r="K300" s="88"/>
    </row>
    <row r="301" spans="1:11" x14ac:dyDescent="0.5">
      <c r="A301" s="5" t="s">
        <v>386</v>
      </c>
      <c r="B301" s="7">
        <v>46002</v>
      </c>
      <c r="C301" s="5" t="s">
        <v>44</v>
      </c>
      <c r="D301" s="5" t="s">
        <v>352</v>
      </c>
      <c r="E301" s="5" t="s">
        <v>207</v>
      </c>
      <c r="F301" s="5" t="s">
        <v>34</v>
      </c>
      <c r="G301" s="8">
        <v>2724</v>
      </c>
      <c r="H301" s="9">
        <f t="shared" si="16"/>
        <v>340.5</v>
      </c>
      <c r="I301" s="9"/>
      <c r="J301" s="87"/>
      <c r="K301" s="88"/>
    </row>
    <row r="302" spans="1:11" ht="27.35" x14ac:dyDescent="0.5">
      <c r="A302" s="5" t="s">
        <v>388</v>
      </c>
      <c r="B302" s="7">
        <v>45641</v>
      </c>
      <c r="C302" s="5" t="s">
        <v>389</v>
      </c>
      <c r="D302" s="5" t="s">
        <v>84</v>
      </c>
      <c r="E302" s="5" t="s">
        <v>17</v>
      </c>
      <c r="F302" s="5" t="s">
        <v>34</v>
      </c>
      <c r="G302" s="89">
        <v>2662</v>
      </c>
      <c r="H302" s="9">
        <f>G302*11.5%</f>
        <v>306.13</v>
      </c>
      <c r="I302" s="9"/>
      <c r="J302" s="87"/>
      <c r="K302" s="88"/>
    </row>
    <row r="303" spans="1:11" ht="27.35" x14ac:dyDescent="0.5">
      <c r="A303" s="5" t="s">
        <v>388</v>
      </c>
      <c r="B303" s="7">
        <v>45641</v>
      </c>
      <c r="C303" s="5" t="s">
        <v>390</v>
      </c>
      <c r="D303" s="5" t="s">
        <v>295</v>
      </c>
      <c r="E303" s="5" t="s">
        <v>17</v>
      </c>
      <c r="F303" s="5" t="s">
        <v>39</v>
      </c>
      <c r="G303" s="89">
        <v>54973</v>
      </c>
      <c r="H303" s="9">
        <f>G303*12.5%</f>
        <v>6871.625</v>
      </c>
      <c r="I303" s="9"/>
      <c r="J303" s="87"/>
      <c r="K303" s="88"/>
    </row>
    <row r="304" spans="1:11" ht="27.35" x14ac:dyDescent="0.5">
      <c r="A304" s="5" t="s">
        <v>388</v>
      </c>
      <c r="B304" s="7">
        <v>45641</v>
      </c>
      <c r="C304" s="5" t="s">
        <v>391</v>
      </c>
      <c r="D304" s="5" t="s">
        <v>392</v>
      </c>
      <c r="E304" s="5" t="s">
        <v>17</v>
      </c>
      <c r="F304" s="5" t="s">
        <v>80</v>
      </c>
      <c r="G304" s="89">
        <v>38400</v>
      </c>
      <c r="H304" s="9">
        <f>G304*12.5%</f>
        <v>4800</v>
      </c>
      <c r="I304" s="9"/>
      <c r="J304" s="87"/>
      <c r="K304" s="88"/>
    </row>
    <row r="305" spans="1:11" x14ac:dyDescent="0.5">
      <c r="A305" s="5" t="s">
        <v>388</v>
      </c>
      <c r="B305" s="7">
        <v>45641</v>
      </c>
      <c r="C305" s="5" t="s">
        <v>291</v>
      </c>
      <c r="D305" s="5" t="s">
        <v>131</v>
      </c>
      <c r="E305" s="5" t="s">
        <v>17</v>
      </c>
      <c r="F305" s="5" t="s">
        <v>393</v>
      </c>
      <c r="G305" s="89">
        <v>6330</v>
      </c>
      <c r="H305" s="9">
        <f>G305*12.5%</f>
        <v>791.25</v>
      </c>
      <c r="I305" s="9"/>
      <c r="J305" s="87"/>
      <c r="K305" s="88"/>
    </row>
    <row r="306" spans="1:11" x14ac:dyDescent="0.5">
      <c r="A306" s="5" t="s">
        <v>388</v>
      </c>
      <c r="B306" s="7">
        <v>45641</v>
      </c>
      <c r="C306" s="5" t="s">
        <v>44</v>
      </c>
      <c r="D306" s="5" t="s">
        <v>45</v>
      </c>
      <c r="E306" s="5" t="s">
        <v>17</v>
      </c>
      <c r="F306" s="5" t="s">
        <v>34</v>
      </c>
      <c r="G306" s="89">
        <v>5664</v>
      </c>
      <c r="H306" s="9">
        <f>G306*12.5%</f>
        <v>708</v>
      </c>
      <c r="I306" s="9"/>
      <c r="J306" s="87"/>
      <c r="K306" s="88"/>
    </row>
    <row r="307" spans="1:11" x14ac:dyDescent="0.5">
      <c r="A307" s="5" t="s">
        <v>394</v>
      </c>
      <c r="B307" s="51">
        <v>44914</v>
      </c>
      <c r="C307" s="50" t="s">
        <v>395</v>
      </c>
      <c r="D307" s="50" t="s">
        <v>276</v>
      </c>
      <c r="E307" s="50" t="s">
        <v>17</v>
      </c>
      <c r="F307" s="50" t="s">
        <v>18</v>
      </c>
      <c r="G307" s="83">
        <v>14170</v>
      </c>
      <c r="H307" s="52">
        <f>G307*12%</f>
        <v>1700.3999999999999</v>
      </c>
      <c r="I307" s="52"/>
      <c r="J307" s="87"/>
      <c r="K307" s="88"/>
    </row>
    <row r="308" spans="1:11" x14ac:dyDescent="0.5">
      <c r="A308" s="90" t="s">
        <v>394</v>
      </c>
      <c r="B308" s="51">
        <v>45279</v>
      </c>
      <c r="C308" s="90" t="s">
        <v>37</v>
      </c>
      <c r="D308" s="90" t="s">
        <v>131</v>
      </c>
      <c r="E308" s="90" t="s">
        <v>17</v>
      </c>
      <c r="F308" s="91" t="s">
        <v>18</v>
      </c>
      <c r="G308" s="92">
        <v>5627</v>
      </c>
      <c r="H308" s="52">
        <f>G308*12.5%</f>
        <v>703.375</v>
      </c>
      <c r="I308" s="52"/>
      <c r="J308" s="93"/>
      <c r="K308" s="94"/>
    </row>
    <row r="309" spans="1:11" x14ac:dyDescent="0.5">
      <c r="A309" s="95"/>
      <c r="B309" s="96"/>
      <c r="C309" s="95"/>
      <c r="D309" s="24"/>
      <c r="E309" s="24"/>
      <c r="F309" s="26"/>
      <c r="G309" s="27"/>
      <c r="H309" s="45"/>
      <c r="I309" s="45">
        <f>SUM(H281:H308)</f>
        <v>95523.604999999996</v>
      </c>
      <c r="J309" s="128">
        <v>2233.5100000000002</v>
      </c>
      <c r="K309" s="128">
        <v>2830.66</v>
      </c>
    </row>
    <row r="310" spans="1:11" x14ac:dyDescent="0.5">
      <c r="A310" s="97"/>
      <c r="B310" s="99"/>
      <c r="C310" s="100"/>
      <c r="D310" s="145" t="s">
        <v>396</v>
      </c>
      <c r="E310" s="146"/>
      <c r="F310" s="147"/>
      <c r="G310" s="83">
        <f>SUM(G2:G308)</f>
        <v>3996749.12</v>
      </c>
      <c r="H310" s="52">
        <f>SUM(H2:H308)</f>
        <v>444349.02265000006</v>
      </c>
      <c r="I310" s="52">
        <f>SUM(I22,I55,I84,I107,I131,I151,I167,I193,I237,I266,I280,I309)</f>
        <v>444251.52265</v>
      </c>
      <c r="J310" s="129"/>
      <c r="K310" s="129"/>
    </row>
    <row r="311" spans="1:11" x14ac:dyDescent="0.5">
      <c r="A311" s="97"/>
      <c r="B311" s="99"/>
      <c r="C311" s="100"/>
      <c r="D311" s="101"/>
      <c r="E311" s="101"/>
      <c r="F311" s="101"/>
      <c r="G311" s="102"/>
      <c r="H311" s="103"/>
      <c r="I311" s="103"/>
      <c r="J311" s="129">
        <f>SUM(J22:J310)</f>
        <v>180702.83</v>
      </c>
      <c r="K311" s="129">
        <f>SUM(K22:K310)</f>
        <v>21979.859999999997</v>
      </c>
    </row>
    <row r="312" spans="1:11" x14ac:dyDescent="0.5">
      <c r="A312" s="97"/>
      <c r="B312" s="99"/>
      <c r="C312" s="100"/>
      <c r="D312" s="104"/>
      <c r="E312" s="142" t="s">
        <v>397</v>
      </c>
      <c r="F312" s="144"/>
      <c r="G312" s="105">
        <f>G310</f>
        <v>3996749.12</v>
      </c>
      <c r="H312" s="106">
        <f>H310</f>
        <v>444349.02265000006</v>
      </c>
      <c r="I312" s="107"/>
      <c r="J312" s="130"/>
      <c r="K312" s="130"/>
    </row>
    <row r="313" spans="1:11" x14ac:dyDescent="0.5">
      <c r="A313" s="97"/>
      <c r="B313" s="99"/>
      <c r="C313" s="100"/>
      <c r="D313" s="104"/>
      <c r="E313" s="108" t="s">
        <v>398</v>
      </c>
      <c r="F313" s="109"/>
      <c r="G313" s="105"/>
      <c r="H313" s="106">
        <f>J311</f>
        <v>180702.83</v>
      </c>
      <c r="I313" s="107"/>
      <c r="J313" s="130"/>
      <c r="K313" s="130"/>
    </row>
    <row r="314" spans="1:11" x14ac:dyDescent="0.5">
      <c r="A314" s="97"/>
      <c r="B314" s="99"/>
      <c r="C314" s="100"/>
      <c r="D314" s="104"/>
      <c r="E314" s="108" t="s">
        <v>399</v>
      </c>
      <c r="F314" s="109"/>
      <c r="G314" s="105"/>
      <c r="H314" s="106">
        <f>K311</f>
        <v>21979.859999999997</v>
      </c>
      <c r="I314" s="107"/>
      <c r="J314" s="130"/>
      <c r="K314" s="130"/>
    </row>
    <row r="315" spans="1:11" x14ac:dyDescent="0.5">
      <c r="A315" s="97"/>
      <c r="B315" s="99"/>
      <c r="C315" s="100"/>
      <c r="D315" s="142" t="s">
        <v>400</v>
      </c>
      <c r="E315" s="143"/>
      <c r="F315" s="144"/>
      <c r="G315" s="110"/>
      <c r="H315" s="111"/>
      <c r="I315" s="112"/>
      <c r="J315" s="130"/>
      <c r="K315" s="130"/>
    </row>
    <row r="316" spans="1:11" ht="28" x14ac:dyDescent="0.5">
      <c r="A316" s="97"/>
      <c r="B316" s="99"/>
      <c r="C316" s="100"/>
      <c r="D316" s="104"/>
      <c r="E316" s="104" t="s">
        <v>401</v>
      </c>
      <c r="F316" s="104"/>
      <c r="G316" s="110"/>
      <c r="H316" s="111">
        <v>8800</v>
      </c>
      <c r="I316" s="112"/>
      <c r="J316" s="130"/>
      <c r="K316" s="130"/>
    </row>
    <row r="317" spans="1:11" ht="19.7" x14ac:dyDescent="0.55000000000000004">
      <c r="A317" s="113"/>
      <c r="B317" s="99"/>
      <c r="C317" s="100"/>
      <c r="D317" s="114"/>
      <c r="E317" s="140" t="s">
        <v>402</v>
      </c>
      <c r="F317" s="141"/>
      <c r="G317" s="110"/>
      <c r="H317" s="52">
        <v>100000</v>
      </c>
      <c r="I317" s="103"/>
      <c r="J317" s="130"/>
      <c r="K317" s="130"/>
    </row>
    <row r="318" spans="1:11" ht="28" x14ac:dyDescent="0.5">
      <c r="A318" s="97"/>
      <c r="B318" s="99"/>
      <c r="C318" s="100"/>
      <c r="D318" s="114"/>
      <c r="E318" s="114"/>
      <c r="F318" s="104" t="s">
        <v>403</v>
      </c>
      <c r="G318" s="110"/>
      <c r="H318" s="52">
        <f>SUM(H312:H317)</f>
        <v>755831.71265</v>
      </c>
      <c r="I318" s="103"/>
      <c r="J318" s="130"/>
      <c r="K318" s="130"/>
    </row>
    <row r="319" spans="1:11" x14ac:dyDescent="0.5">
      <c r="A319" s="97"/>
      <c r="B319" s="99"/>
      <c r="C319" s="100"/>
      <c r="D319" s="154"/>
      <c r="E319" s="154"/>
      <c r="F319" s="155"/>
      <c r="G319" s="156"/>
      <c r="H319" s="157"/>
      <c r="I319" s="103"/>
      <c r="J319" s="130"/>
      <c r="K319" s="130"/>
    </row>
    <row r="320" spans="1:11" x14ac:dyDescent="0.5">
      <c r="A320" s="97"/>
      <c r="B320" s="99"/>
      <c r="C320" s="100"/>
      <c r="D320" s="158" t="s">
        <v>8</v>
      </c>
      <c r="E320" s="97"/>
      <c r="F320" s="97"/>
      <c r="G320" s="98"/>
      <c r="H320" s="112"/>
      <c r="I320" s="112"/>
      <c r="J320" s="130"/>
      <c r="K320" s="130"/>
    </row>
    <row r="321" spans="1:11" ht="123.7" x14ac:dyDescent="0.5">
      <c r="A321" s="97"/>
      <c r="B321" s="99"/>
      <c r="C321" s="100"/>
      <c r="D321" s="159">
        <v>1</v>
      </c>
      <c r="E321" s="97" t="s">
        <v>411</v>
      </c>
      <c r="F321" s="97"/>
      <c r="G321" s="98"/>
      <c r="H321" s="112"/>
      <c r="I321" s="112"/>
      <c r="J321" s="130"/>
      <c r="K321" s="130"/>
    </row>
    <row r="322" spans="1:11" ht="57.35" x14ac:dyDescent="0.5">
      <c r="D322" s="160">
        <v>2</v>
      </c>
      <c r="E322" s="153" t="s">
        <v>410</v>
      </c>
    </row>
    <row r="323" spans="1:11" ht="71.7" x14ac:dyDescent="0.5">
      <c r="C323" s="162" t="s">
        <v>413</v>
      </c>
      <c r="D323" s="160">
        <v>3</v>
      </c>
      <c r="E323" s="161" t="s">
        <v>412</v>
      </c>
    </row>
    <row r="324" spans="1:11" ht="404" customHeight="1" x14ac:dyDescent="0.5">
      <c r="D324" s="160">
        <v>4</v>
      </c>
      <c r="E324" s="161" t="s">
        <v>414</v>
      </c>
      <c r="F324" s="161" t="s">
        <v>415</v>
      </c>
    </row>
  </sheetData>
  <mergeCells count="43">
    <mergeCell ref="I7:I10"/>
    <mergeCell ref="I177:I178"/>
    <mergeCell ref="I170:I175"/>
    <mergeCell ref="I165:I166"/>
    <mergeCell ref="I156:I158"/>
    <mergeCell ref="I153:I154"/>
    <mergeCell ref="I135:I136"/>
    <mergeCell ref="D310:F310"/>
    <mergeCell ref="E312:F312"/>
    <mergeCell ref="D315:F315"/>
    <mergeCell ref="E317:F317"/>
    <mergeCell ref="I179:I183"/>
    <mergeCell ref="A280:G280"/>
    <mergeCell ref="J281:K308"/>
    <mergeCell ref="I257:I259"/>
    <mergeCell ref="J267:K279"/>
    <mergeCell ref="J239:K265"/>
    <mergeCell ref="I224:I231"/>
    <mergeCell ref="I232:I236"/>
    <mergeCell ref="I211:I212"/>
    <mergeCell ref="I213:I223"/>
    <mergeCell ref="I184:I185"/>
    <mergeCell ref="I186:I187"/>
    <mergeCell ref="J194:K236"/>
    <mergeCell ref="I201:I205"/>
    <mergeCell ref="J169:K187"/>
    <mergeCell ref="J152:K166"/>
    <mergeCell ref="J132:K150"/>
    <mergeCell ref="I128:I129"/>
    <mergeCell ref="I108:I110"/>
    <mergeCell ref="J108:K129"/>
    <mergeCell ref="I111:I112"/>
    <mergeCell ref="I122:I125"/>
    <mergeCell ref="I97:I101"/>
    <mergeCell ref="D82:G83"/>
    <mergeCell ref="J85:K106"/>
    <mergeCell ref="I88:I91"/>
    <mergeCell ref="I92:I94"/>
    <mergeCell ref="I56:I60"/>
    <mergeCell ref="J56:K83"/>
    <mergeCell ref="I61:I67"/>
    <mergeCell ref="I76:I81"/>
    <mergeCell ref="J2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Pearson</dc:creator>
  <cp:lastModifiedBy>Judith Pearson</cp:lastModifiedBy>
  <dcterms:created xsi:type="dcterms:W3CDTF">2026-07-30T21:01:25Z</dcterms:created>
  <dcterms:modified xsi:type="dcterms:W3CDTF">2026-07-30T22:43:35Z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2026-07-30T22:43:10Z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acd0b36d-e5ce-4e7f-8cc6-8a776de8cf0b</vt:lpwstr>
  </property>
  <property fmtid="{D5CDD505-2E9C-101B-9397-08002B2CF9AE}" pid="7" name="MSIP_Label_defa4170-0d19-0005-0004-bc88714345d2_ActionId">
    <vt:lpwstr>7cf03922-bf60-4b87-9238-4a782657c418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